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 defaultThemeVersion="124226"/>
  <xr:revisionPtr revIDLastSave="0" documentId="8_{1B874C81-F1B4-440F-A05C-3DC0E16B7EA6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pivot table" sheetId="2" r:id="rId1"/>
    <sheet name="analysis" sheetId="3" r:id="rId2"/>
    <sheet name="Sheet1" sheetId="1" r:id="rId3"/>
  </sheets>
  <definedNames>
    <definedName name="Slicer_Month">#N/A</definedName>
    <definedName name="Slicer_State">#N/A</definedName>
    <definedName name="Slicer_Year">#N/A</definedName>
  </definedNames>
  <calcPr calcId="191028"/>
  <pivotCaches>
    <pivotCache cacheId="117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<sst xmlns="http://schemas.openxmlformats.org/spreadsheetml/2006/main" count="571" uniqueCount="58">
  <si>
    <t>Sum of Profit</t>
  </si>
  <si>
    <t>Sum of Sales</t>
  </si>
  <si>
    <t>Year</t>
  </si>
  <si>
    <t>Month</t>
  </si>
  <si>
    <t>State</t>
  </si>
  <si>
    <t>Category</t>
  </si>
  <si>
    <t>January</t>
  </si>
  <si>
    <t>Delhi</t>
  </si>
  <si>
    <t>Furniture</t>
  </si>
  <si>
    <t>February</t>
  </si>
  <si>
    <t>Gujarat</t>
  </si>
  <si>
    <t>Office Supplies</t>
  </si>
  <si>
    <t>Grand Total</t>
  </si>
  <si>
    <t>March</t>
  </si>
  <si>
    <t>Karnataka</t>
  </si>
  <si>
    <t>Technology</t>
  </si>
  <si>
    <t>April</t>
  </si>
  <si>
    <t>Maharashtra</t>
  </si>
  <si>
    <t>May</t>
  </si>
  <si>
    <t>Rajasthan</t>
  </si>
  <si>
    <t>June</t>
  </si>
  <si>
    <t>Tamil Nadu</t>
  </si>
  <si>
    <t>July</t>
  </si>
  <si>
    <t>Uttar Pradesh</t>
  </si>
  <si>
    <t>August</t>
  </si>
  <si>
    <t>West Bengal</t>
  </si>
  <si>
    <t>September</t>
  </si>
  <si>
    <t>October</t>
  </si>
  <si>
    <t>November</t>
  </si>
  <si>
    <t>December</t>
  </si>
  <si>
    <t>Order Date</t>
  </si>
  <si>
    <t>Customer Name</t>
  </si>
  <si>
    <t>Sub-Category</t>
  </si>
  <si>
    <t>Sales</t>
  </si>
  <si>
    <t>Quantity</t>
  </si>
  <si>
    <t>Profit</t>
  </si>
  <si>
    <t>Karan Joshi</t>
  </si>
  <si>
    <t>Mobiles</t>
  </si>
  <si>
    <t>Sneha Patel</t>
  </si>
  <si>
    <t>Tables</t>
  </si>
  <si>
    <t>Priya Singh</t>
  </si>
  <si>
    <t>Laptops</t>
  </si>
  <si>
    <t>Amit Sharma</t>
  </si>
  <si>
    <t>Sofas</t>
  </si>
  <si>
    <t>Neha Gupta</t>
  </si>
  <si>
    <t>Bookcases</t>
  </si>
  <si>
    <t>Ankit Verma</t>
  </si>
  <si>
    <t>Tina Malhotra</t>
  </si>
  <si>
    <t>Pens</t>
  </si>
  <si>
    <t>Printers</t>
  </si>
  <si>
    <t>Ravi Iyer</t>
  </si>
  <si>
    <t>Rahul Mehta</t>
  </si>
  <si>
    <t>Storage</t>
  </si>
  <si>
    <t>Divya Nair</t>
  </si>
  <si>
    <t>Paper</t>
  </si>
  <si>
    <t>Headphones</t>
  </si>
  <si>
    <t>Binders</t>
  </si>
  <si>
    <t>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</si>
</sst>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C334E"/>
      <color rgb="FF00ACF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analysis!$AU$2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analysis!$AT$3:$AT$5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analysis!$AU$3:$AU$5</c:f>
              <c:numCache>
                <c:formatCode>General</c:formatCode>
                <c:ptCount val="2"/>
                <c:pt idx="0">
                  <c:v>44366.640000000007</c:v>
                </c:pt>
                <c:pt idx="1">
                  <c:v>26207.279999999999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6-4E68-93CC-08A73FFCD2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-27"/>
        <c:axId val="1610482696"/>
        <c:axId val="1610484744"/>
      </c:barChart>
      <c:catAx>
        <c:axId val="161048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84744"/>
        <c:crosses val="autoZero"/>
        <c:auto val="1"/>
        <c:lblAlgn val="ctr"/>
        <c:lblOffset val="100"/>
        <c:noMultiLvlLbl val="0"/>
      </c:catAx>
      <c:valAx>
        <c:axId val="1610484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8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cat>
            <c:strRef>
              <c:f>analysis!$AZ$3:$AZ$15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analysis!$BA$3:$BA$15</c:f>
              <c:numCache>
                <c:formatCode>General</c:formatCode>
                <c:ptCount val="12"/>
                <c:pt idx="0">
                  <c:v>27478.1</c:v>
                </c:pt>
                <c:pt idx="1">
                  <c:v>10812.64</c:v>
                </c:pt>
                <c:pt idx="2">
                  <c:v>24435.870000000003</c:v>
                </c:pt>
                <c:pt idx="3">
                  <c:v>19452.57</c:v>
                </c:pt>
                <c:pt idx="4">
                  <c:v>12192.21</c:v>
                </c:pt>
                <c:pt idx="5">
                  <c:v>28825.280000000002</c:v>
                </c:pt>
                <c:pt idx="6">
                  <c:v>25873.490000000005</c:v>
                </c:pt>
                <c:pt idx="7">
                  <c:v>29207.239999999998</c:v>
                </c:pt>
                <c:pt idx="8">
                  <c:v>43786.5</c:v>
                </c:pt>
                <c:pt idx="9">
                  <c:v>23393.97</c:v>
                </c:pt>
                <c:pt idx="10">
                  <c:v>12549.93</c:v>
                </c:pt>
                <c:pt idx="11">
                  <c:v>19061.920000000002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2-47CC-83E6-C732AD943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024839"/>
        <c:axId val="1870341640"/>
      </c:areaChart>
      <c:catAx>
        <c:axId val="516024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41640"/>
        <c:crosses val="autoZero"/>
        <c:auto val="1"/>
        <c:lblAlgn val="ctr"/>
        <c:lblOffset val="100"/>
        <c:noMultiLvlLbl val="0"/>
      </c:catAx>
      <c:valAx>
        <c:axId val="187034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24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analysis!$BF$3:$BF$11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analysis!$BG$3:$BG$11</c:f>
              <c:numCache>
                <c:formatCode>General</c:formatCode>
                <c:ptCount val="8"/>
                <c:pt idx="0">
                  <c:v>28964.61</c:v>
                </c:pt>
                <c:pt idx="1">
                  <c:v>20965.769999999997</c:v>
                </c:pt>
                <c:pt idx="2">
                  <c:v>37965.73000000001</c:v>
                </c:pt>
                <c:pt idx="3">
                  <c:v>44231.69</c:v>
                </c:pt>
                <c:pt idx="4">
                  <c:v>32309.47</c:v>
                </c:pt>
                <c:pt idx="5">
                  <c:v>30681.270000000004</c:v>
                </c:pt>
                <c:pt idx="6">
                  <c:v>39205.18</c:v>
                </c:pt>
                <c:pt idx="7">
                  <c:v>42746.000000000015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B-4674-B465-8ED2222CF1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"/>
        <c:overlap val="100"/>
        <c:axId val="1696603144"/>
        <c:axId val="1696605192"/>
      </c:barChart>
      <c:catAx>
        <c:axId val="1696603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605192"/>
        <c:crosses val="autoZero"/>
        <c:auto val="1"/>
        <c:lblAlgn val="ctr"/>
        <c:lblOffset val="100"/>
        <c:noMultiLvlLbl val="0"/>
      </c:catAx>
      <c:valAx>
        <c:axId val="169660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60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analysis!$BD$2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analysis!$BC$3:$BC$15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analysis!$BD$3:$BD$15</c:f>
              <c:numCache>
                <c:formatCode>General</c:formatCode>
                <c:ptCount val="12"/>
                <c:pt idx="0">
                  <c:v>3615.87</c:v>
                </c:pt>
                <c:pt idx="1">
                  <c:v>3330.67</c:v>
                </c:pt>
                <c:pt idx="2">
                  <c:v>5601.3300000000008</c:v>
                </c:pt>
                <c:pt idx="3">
                  <c:v>4740.2</c:v>
                </c:pt>
                <c:pt idx="4">
                  <c:v>2599.7200000000003</c:v>
                </c:pt>
                <c:pt idx="5">
                  <c:v>6412.630000000001</c:v>
                </c:pt>
                <c:pt idx="6">
                  <c:v>6597.58</c:v>
                </c:pt>
                <c:pt idx="7">
                  <c:v>11447.59</c:v>
                </c:pt>
                <c:pt idx="8">
                  <c:v>11375.41</c:v>
                </c:pt>
                <c:pt idx="9">
                  <c:v>5848.1299999999992</c:v>
                </c:pt>
                <c:pt idx="10">
                  <c:v>4541.4400000000005</c:v>
                </c:pt>
                <c:pt idx="11">
                  <c:v>4463.3499999999995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4-4A37-A562-E9C0060080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6634376"/>
        <c:axId val="145661959"/>
      </c:lineChart>
      <c:catAx>
        <c:axId val="169663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61959"/>
        <c:crosses val="autoZero"/>
        <c:auto val="1"/>
        <c:lblAlgn val="ctr"/>
        <c:lblOffset val="100"/>
        <c:noMultiLvlLbl val="0"/>
      </c:catAx>
      <c:valAx>
        <c:axId val="14566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63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D-4508-898F-AD58E6BC980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D-4508-898F-AD58E6BC980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BD-4508-898F-AD58E6BC9804}"/>
              </c:ext>
            </c:extLst>
          </c:dPt>
          <c:cat>
            <c:strRef>
              <c:f>analysis!$BI$3:$BI$6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analysis!$BJ$3:$BJ$6</c:f>
              <c:numCache>
                <c:formatCode>General</c:formatCode>
                <c:ptCount val="3"/>
                <c:pt idx="0">
                  <c:v>109835.94</c:v>
                </c:pt>
                <c:pt idx="1">
                  <c:v>86057.54</c:v>
                </c:pt>
                <c:pt idx="2">
                  <c:v>81176.24000000002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BD-4508-898F-AD58E6BC9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2.xlsx]analysis!PivotTable8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40D1-AD36-E7E1C10AF23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40D1-AD36-E7E1C10AF23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40D1-AD36-E7E1C10AF230}"/>
              </c:ext>
            </c:extLst>
          </c:dPt>
          <c:cat>
            <c:strRef>
              <c:f>analysis!$BL$3:$BL$6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analysis!$BM$3:$BM$6</c:f>
              <c:numCache>
                <c:formatCode>General</c:formatCode>
                <c:ptCount val="3"/>
                <c:pt idx="0">
                  <c:v>30729.579999999994</c:v>
                </c:pt>
                <c:pt idx="1">
                  <c:v>22323.879999999994</c:v>
                </c:pt>
                <c:pt idx="2">
                  <c:v>17520.46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AB-40D1-AD36-E7E1C10AF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228600</xdr:colOff>
      <xdr:row>42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02B19DD-0438-CF70-A52B-F8231A245FFE}"/>
            </a:ext>
          </a:extLst>
        </xdr:cNvPr>
        <xdr:cNvSpPr/>
      </xdr:nvSpPr>
      <xdr:spPr>
        <a:xfrm>
          <a:off x="0" y="0"/>
          <a:ext cx="13639800" cy="802957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47625</xdr:colOff>
      <xdr:row>0</xdr:row>
      <xdr:rowOff>0</xdr:rowOff>
    </xdr:from>
    <xdr:to>
      <xdr:col>2</xdr:col>
      <xdr:colOff>104775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15CAB3-3575-C51E-13D9-2614CB20F607}"/>
            </a:ext>
            <a:ext uri="{147F2762-F138-4A5C-976F-8EAC2B608ADB}">
              <a16:predDERef xmlns:a16="http://schemas.microsoft.com/office/drawing/2014/main" pred="{E02B19DD-0438-CF70-A52B-F8231A245FFE}"/>
            </a:ext>
          </a:extLst>
        </xdr:cNvPr>
        <xdr:cNvSpPr/>
      </xdr:nvSpPr>
      <xdr:spPr>
        <a:xfrm>
          <a:off x="47625" y="0"/>
          <a:ext cx="1276350" cy="1123950"/>
        </a:xfrm>
        <a:prstGeom prst="roundRect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180975</xdr:colOff>
      <xdr:row>0</xdr:row>
      <xdr:rowOff>0</xdr:rowOff>
    </xdr:from>
    <xdr:to>
      <xdr:col>22</xdr:col>
      <xdr:colOff>180975</xdr:colOff>
      <xdr:row>5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554348-9691-46B8-8888-8FC6D0F920AD}"/>
            </a:ext>
            <a:ext uri="{147F2762-F138-4A5C-976F-8EAC2B608ADB}">
              <a16:predDERef xmlns:a16="http://schemas.microsoft.com/office/drawing/2014/main" pred="{7115CAB3-3575-C51E-13D9-2614CB20F607}"/>
            </a:ext>
          </a:extLst>
        </xdr:cNvPr>
        <xdr:cNvSpPr/>
      </xdr:nvSpPr>
      <xdr:spPr>
        <a:xfrm>
          <a:off x="1400175" y="0"/>
          <a:ext cx="12192000" cy="1104900"/>
        </a:xfrm>
        <a:prstGeom prst="roundRect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66675</xdr:colOff>
      <xdr:row>6</xdr:row>
      <xdr:rowOff>0</xdr:rowOff>
    </xdr:from>
    <xdr:to>
      <xdr:col>2</xdr:col>
      <xdr:colOff>123825</xdr:colOff>
      <xdr:row>41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C11809-DA2E-45E4-B67D-B60D524BDF32}"/>
            </a:ext>
            <a:ext uri="{147F2762-F138-4A5C-976F-8EAC2B608ADB}">
              <a16:predDERef xmlns:a16="http://schemas.microsoft.com/office/drawing/2014/main" pred="{3D554348-9691-46B8-8888-8FC6D0F920AD}"/>
            </a:ext>
          </a:extLst>
        </xdr:cNvPr>
        <xdr:cNvSpPr/>
      </xdr:nvSpPr>
      <xdr:spPr>
        <a:xfrm>
          <a:off x="66675" y="1143000"/>
          <a:ext cx="1276350" cy="6829425"/>
        </a:xfrm>
        <a:prstGeom prst="rect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180975</xdr:colOff>
      <xdr:row>6</xdr:row>
      <xdr:rowOff>0</xdr:rowOff>
    </xdr:from>
    <xdr:to>
      <xdr:col>9</xdr:col>
      <xdr:colOff>542925</xdr:colOff>
      <xdr:row>12</xdr:row>
      <xdr:rowOff>66675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12044486-CEA6-4740-BD60-0E98C16BA90A}"/>
            </a:ext>
            <a:ext uri="{147F2762-F138-4A5C-976F-8EAC2B608ADB}">
              <a16:predDERef xmlns:a16="http://schemas.microsoft.com/office/drawing/2014/main" pred="{1AC11809-DA2E-45E4-B67D-B60D524BDF32}"/>
            </a:ext>
          </a:extLst>
        </xdr:cNvPr>
        <xdr:cNvSpPr/>
      </xdr:nvSpPr>
      <xdr:spPr>
        <a:xfrm>
          <a:off x="3838575" y="1143000"/>
          <a:ext cx="2190750" cy="1209675"/>
        </a:xfrm>
        <a:prstGeom prst="round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600">
              <a:solidFill>
                <a:srgbClr val="1C334E"/>
              </a:solidFill>
              <a:latin typeface="+mn-lt"/>
              <a:ea typeface="+mn-lt"/>
              <a:cs typeface="+mn-lt"/>
            </a:rPr>
            <a:t>277069.72</a:t>
          </a:r>
        </a:p>
      </xdr:txBody>
    </xdr:sp>
    <xdr:clientData/>
  </xdr:twoCellAnchor>
  <xdr:twoCellAnchor>
    <xdr:from>
      <xdr:col>2</xdr:col>
      <xdr:colOff>323850</xdr:colOff>
      <xdr:row>6</xdr:row>
      <xdr:rowOff>9525</xdr:rowOff>
    </xdr:from>
    <xdr:to>
      <xdr:col>6</xdr:col>
      <xdr:colOff>76200</xdr:colOff>
      <xdr:row>12</xdr:row>
      <xdr:rowOff>66675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90644958-DB05-4004-BB6D-C0C335230163}"/>
            </a:ext>
            <a:ext uri="{147F2762-F138-4A5C-976F-8EAC2B608ADB}">
              <a16:predDERef xmlns:a16="http://schemas.microsoft.com/office/drawing/2014/main" pred="{12044486-CEA6-4740-BD60-0E98C16BA90A}"/>
            </a:ext>
          </a:extLst>
        </xdr:cNvPr>
        <xdr:cNvSpPr/>
      </xdr:nvSpPr>
      <xdr:spPr>
        <a:xfrm>
          <a:off x="1543050" y="1152525"/>
          <a:ext cx="2190750" cy="1200150"/>
        </a:xfrm>
        <a:prstGeom prst="round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600" b="0" i="0" u="none" strike="noStrike">
              <a:solidFill>
                <a:srgbClr val="1C334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70573.92</a:t>
          </a:r>
        </a:p>
      </xdr:txBody>
    </xdr:sp>
    <xdr:clientData/>
  </xdr:twoCellAnchor>
  <xdr:twoCellAnchor>
    <xdr:from>
      <xdr:col>2</xdr:col>
      <xdr:colOff>323850</xdr:colOff>
      <xdr:row>12</xdr:row>
      <xdr:rowOff>171450</xdr:rowOff>
    </xdr:from>
    <xdr:to>
      <xdr:col>9</xdr:col>
      <xdr:colOff>476250</xdr:colOff>
      <xdr:row>25</xdr:row>
      <xdr:rowOff>85725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57A17B5-AB80-4A42-8340-6B9B3DCD0644}"/>
            </a:ext>
            <a:ext uri="{147F2762-F138-4A5C-976F-8EAC2B608ADB}">
              <a16:predDERef xmlns:a16="http://schemas.microsoft.com/office/drawing/2014/main" pred="{90644958-DB05-4004-BB6D-C0C335230163}"/>
            </a:ext>
          </a:extLst>
        </xdr:cNvPr>
        <xdr:cNvSpPr/>
      </xdr:nvSpPr>
      <xdr:spPr>
        <a:xfrm>
          <a:off x="1543050" y="2457450"/>
          <a:ext cx="4419600" cy="2390775"/>
        </a:xfrm>
        <a:prstGeom prst="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342900</xdr:colOff>
      <xdr:row>26</xdr:row>
      <xdr:rowOff>66675</xdr:rowOff>
    </xdr:from>
    <xdr:to>
      <xdr:col>9</xdr:col>
      <xdr:colOff>466725</xdr:colOff>
      <xdr:row>41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A831894-FAB3-4891-B887-110F83E14C06}"/>
            </a:ext>
            <a:ext uri="{147F2762-F138-4A5C-976F-8EAC2B608ADB}">
              <a16:predDERef xmlns:a16="http://schemas.microsoft.com/office/drawing/2014/main" pred="{857A17B5-AB80-4A42-8340-6B9B3DCD0644}"/>
            </a:ext>
          </a:extLst>
        </xdr:cNvPr>
        <xdr:cNvSpPr/>
      </xdr:nvSpPr>
      <xdr:spPr>
        <a:xfrm>
          <a:off x="1562100" y="5019675"/>
          <a:ext cx="4391025" cy="2924175"/>
        </a:xfrm>
        <a:prstGeom prst="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52388</xdr:colOff>
      <xdr:row>6</xdr:row>
      <xdr:rowOff>4762</xdr:rowOff>
    </xdr:from>
    <xdr:to>
      <xdr:col>15</xdr:col>
      <xdr:colOff>300038</xdr:colOff>
      <xdr:row>17</xdr:row>
      <xdr:rowOff>147637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D077A41-4BB0-42E0-BE8B-8175226B08CF}"/>
            </a:ext>
            <a:ext uri="{147F2762-F138-4A5C-976F-8EAC2B608ADB}">
              <a16:predDERef xmlns:a16="http://schemas.microsoft.com/office/drawing/2014/main" pred="{4A831894-FAB3-4891-B887-110F83E14C06}"/>
            </a:ext>
          </a:extLst>
        </xdr:cNvPr>
        <xdr:cNvSpPr/>
      </xdr:nvSpPr>
      <xdr:spPr>
        <a:xfrm rot="5400000">
          <a:off x="6677025" y="619125"/>
          <a:ext cx="2238375" cy="3295650"/>
        </a:xfrm>
        <a:prstGeom prst="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47625</xdr:colOff>
      <xdr:row>27</xdr:row>
      <xdr:rowOff>180975</xdr:rowOff>
    </xdr:from>
    <xdr:to>
      <xdr:col>22</xdr:col>
      <xdr:colOff>190500</xdr:colOff>
      <xdr:row>41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3A05344-728E-450E-B651-FB6A8300F36E}"/>
            </a:ext>
            <a:ext uri="{147F2762-F138-4A5C-976F-8EAC2B608ADB}">
              <a16:predDERef xmlns:a16="http://schemas.microsoft.com/office/drawing/2014/main" pred="{6D077A41-4BB0-42E0-BE8B-8175226B08CF}"/>
            </a:ext>
          </a:extLst>
        </xdr:cNvPr>
        <xdr:cNvSpPr/>
      </xdr:nvSpPr>
      <xdr:spPr>
        <a:xfrm>
          <a:off x="6143625" y="5324475"/>
          <a:ext cx="7458075" cy="2619375"/>
        </a:xfrm>
        <a:prstGeom prst="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409575</xdr:colOff>
      <xdr:row>6</xdr:row>
      <xdr:rowOff>0</xdr:rowOff>
    </xdr:from>
    <xdr:to>
      <xdr:col>22</xdr:col>
      <xdr:colOff>161925</xdr:colOff>
      <xdr:row>17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212F242-DD88-4C7D-9558-4D31C4457C36}"/>
            </a:ext>
            <a:ext uri="{147F2762-F138-4A5C-976F-8EAC2B608ADB}">
              <a16:predDERef xmlns:a16="http://schemas.microsoft.com/office/drawing/2014/main" pred="{E3A05344-728E-450E-B651-FB6A8300F36E}"/>
            </a:ext>
          </a:extLst>
        </xdr:cNvPr>
        <xdr:cNvSpPr/>
      </xdr:nvSpPr>
      <xdr:spPr>
        <a:xfrm>
          <a:off x="9553575" y="1143000"/>
          <a:ext cx="4019550" cy="2228850"/>
        </a:xfrm>
        <a:prstGeom prst="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47625</xdr:colOff>
      <xdr:row>18</xdr:row>
      <xdr:rowOff>38100</xdr:rowOff>
    </xdr:from>
    <xdr:to>
      <xdr:col>22</xdr:col>
      <xdr:colOff>171450</xdr:colOff>
      <xdr:row>27</xdr:row>
      <xdr:rowOff>142875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9BA861F-972A-4B10-9625-3B08204080BD}"/>
            </a:ext>
            <a:ext uri="{147F2762-F138-4A5C-976F-8EAC2B608ADB}">
              <a16:predDERef xmlns:a16="http://schemas.microsoft.com/office/drawing/2014/main" pred="{A212F242-DD88-4C7D-9558-4D31C4457C36}"/>
            </a:ext>
          </a:extLst>
        </xdr:cNvPr>
        <xdr:cNvSpPr/>
      </xdr:nvSpPr>
      <xdr:spPr>
        <a:xfrm>
          <a:off x="6143625" y="3467100"/>
          <a:ext cx="7439025" cy="1819275"/>
        </a:xfrm>
        <a:prstGeom prst="rect">
          <a:avLst/>
        </a:prstGeom>
        <a:solidFill>
          <a:srgbClr val="00ACF0">
            <a:alpha val="41000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66675</xdr:colOff>
      <xdr:row>0</xdr:row>
      <xdr:rowOff>123825</xdr:rowOff>
    </xdr:from>
    <xdr:to>
      <xdr:col>22</xdr:col>
      <xdr:colOff>66675</xdr:colOff>
      <xdr:row>5</xdr:row>
      <xdr:rowOff>123825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E554F2A-9593-4627-71F2-1A623712CB0C}"/>
            </a:ext>
            <a:ext uri="{147F2762-F138-4A5C-976F-8EAC2B608ADB}">
              <a16:predDERef xmlns:a16="http://schemas.microsoft.com/office/drawing/2014/main" pred="{29BA861F-972A-4B10-9625-3B08204080BD}"/>
            </a:ext>
          </a:extLst>
        </xdr:cNvPr>
        <xdr:cNvSpPr/>
      </xdr:nvSpPr>
      <xdr:spPr>
        <a:xfrm>
          <a:off x="2505075" y="123825"/>
          <a:ext cx="10972800" cy="952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3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&amp; PROFIT DASHBOARD</a:t>
          </a:r>
        </a:p>
      </xdr:txBody>
    </xdr:sp>
    <xdr:clientData/>
  </xdr:twoCellAnchor>
  <xdr:twoCellAnchor>
    <xdr:from>
      <xdr:col>2</xdr:col>
      <xdr:colOff>352425</xdr:colOff>
      <xdr:row>6</xdr:row>
      <xdr:rowOff>85725</xdr:rowOff>
    </xdr:from>
    <xdr:to>
      <xdr:col>7</xdr:col>
      <xdr:colOff>257175</xdr:colOff>
      <xdr:row>10</xdr:row>
      <xdr:rowOff>114300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8B9EEBD-59FF-4FF3-9517-B14E6C0630C2}"/>
            </a:ext>
            <a:ext uri="{147F2762-F138-4A5C-976F-8EAC2B608ADB}">
              <a16:predDERef xmlns:a16="http://schemas.microsoft.com/office/drawing/2014/main" pred="{BE554F2A-9593-4627-71F2-1A623712CB0C}"/>
            </a:ext>
          </a:extLst>
        </xdr:cNvPr>
        <xdr:cNvSpPr/>
      </xdr:nvSpPr>
      <xdr:spPr>
        <a:xfrm>
          <a:off x="1571625" y="1228725"/>
          <a:ext cx="2952750" cy="790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</a:t>
          </a:r>
        </a:p>
      </xdr:txBody>
    </xdr:sp>
    <xdr:clientData/>
  </xdr:twoCellAnchor>
  <xdr:twoCellAnchor>
    <xdr:from>
      <xdr:col>6</xdr:col>
      <xdr:colOff>295275</xdr:colOff>
      <xdr:row>6</xdr:row>
      <xdr:rowOff>47625</xdr:rowOff>
    </xdr:from>
    <xdr:to>
      <xdr:col>11</xdr:col>
      <xdr:colOff>295275</xdr:colOff>
      <xdr:row>10</xdr:row>
      <xdr:rowOff>133350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ABB806D-28EF-4114-94FB-F133D6584587}"/>
            </a:ext>
            <a:ext uri="{147F2762-F138-4A5C-976F-8EAC2B608ADB}">
              <a16:predDERef xmlns:a16="http://schemas.microsoft.com/office/drawing/2014/main" pred="{A8B9EEBD-59FF-4FF3-9517-B14E6C0630C2}"/>
            </a:ext>
          </a:extLst>
        </xdr:cNvPr>
        <xdr:cNvSpPr/>
      </xdr:nvSpPr>
      <xdr:spPr>
        <a:xfrm>
          <a:off x="3952875" y="1190625"/>
          <a:ext cx="3048000" cy="847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</a:p>
      </xdr:txBody>
    </xdr:sp>
    <xdr:clientData/>
  </xdr:twoCellAnchor>
  <xdr:twoCellAnchor>
    <xdr:from>
      <xdr:col>2</xdr:col>
      <xdr:colOff>381000</xdr:colOff>
      <xdr:row>13</xdr:row>
      <xdr:rowOff>19050</xdr:rowOff>
    </xdr:from>
    <xdr:to>
      <xdr:col>9</xdr:col>
      <xdr:colOff>438150</xdr:colOff>
      <xdr:row>25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C368E9E-C0D3-4531-820E-AD814314C0DB}"/>
            </a:ext>
            <a:ext uri="{147F2762-F138-4A5C-976F-8EAC2B608ADB}">
              <a16:predDERef xmlns:a16="http://schemas.microsoft.com/office/drawing/2014/main" pred="{6ABB806D-28EF-4114-94FB-F133D6584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28</xdr:row>
      <xdr:rowOff>9525</xdr:rowOff>
    </xdr:from>
    <xdr:to>
      <xdr:col>22</xdr:col>
      <xdr:colOff>152400</xdr:colOff>
      <xdr:row>41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229761-3DE3-4282-8EFC-038363CD4FB7}"/>
            </a:ext>
            <a:ext uri="{147F2762-F138-4A5C-976F-8EAC2B608ADB}">
              <a16:predDERef xmlns:a16="http://schemas.microsoft.com/office/drawing/2014/main" pred="{CC368E9E-C0D3-4531-820E-AD814314C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26</xdr:row>
      <xdr:rowOff>85725</xdr:rowOff>
    </xdr:from>
    <xdr:to>
      <xdr:col>9</xdr:col>
      <xdr:colOff>438150</xdr:colOff>
      <xdr:row>41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B4B84C-DE51-4A4A-AB1D-76E77F0F24DF}"/>
            </a:ext>
            <a:ext uri="{147F2762-F138-4A5C-976F-8EAC2B608ADB}">
              <a16:predDERef xmlns:a16="http://schemas.microsoft.com/office/drawing/2014/main" pred="{CB229761-3DE3-4282-8EFC-038363CD4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66675</xdr:colOff>
      <xdr:row>18</xdr:row>
      <xdr:rowOff>76200</xdr:rowOff>
    </xdr:from>
    <xdr:to>
      <xdr:col>22</xdr:col>
      <xdr:colOff>142875</xdr:colOff>
      <xdr:row>27</xdr:row>
      <xdr:rowOff>123825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7CD06E3-CEAC-4885-B6E3-D0523409220A}"/>
            </a:ext>
            <a:ext uri="{147F2762-F138-4A5C-976F-8EAC2B608ADB}">
              <a16:predDERef xmlns:a16="http://schemas.microsoft.com/office/drawing/2014/main" pred="{18B4B84C-DE51-4A4A-AB1D-76E77F0F2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85725</xdr:colOff>
      <xdr:row>6</xdr:row>
      <xdr:rowOff>19050</xdr:rowOff>
    </xdr:from>
    <xdr:to>
      <xdr:col>15</xdr:col>
      <xdr:colOff>285750</xdr:colOff>
      <xdr:row>17</xdr:row>
      <xdr:rowOff>123825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15B6B00-428E-46C5-950A-C312E3D8343C}"/>
            </a:ext>
            <a:ext uri="{147F2762-F138-4A5C-976F-8EAC2B608ADB}">
              <a16:predDERef xmlns:a16="http://schemas.microsoft.com/office/drawing/2014/main" pred="{47CD06E3-CEAC-4885-B6E3-D05234092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419100</xdr:colOff>
      <xdr:row>6</xdr:row>
      <xdr:rowOff>9525</xdr:rowOff>
    </xdr:from>
    <xdr:to>
      <xdr:col>22</xdr:col>
      <xdr:colOff>142875</xdr:colOff>
      <xdr:row>17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0F9514C-593C-45BA-9D66-81DE1F2B1518}"/>
            </a:ext>
            <a:ext uri="{147F2762-F138-4A5C-976F-8EAC2B608ADB}">
              <a16:predDERef xmlns:a16="http://schemas.microsoft.com/office/drawing/2014/main" pred="{615B6B00-428E-46C5-950A-C312E3D83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104775</xdr:colOff>
      <xdr:row>23</xdr:row>
      <xdr:rowOff>0</xdr:rowOff>
    </xdr:from>
    <xdr:to>
      <xdr:col>2</xdr:col>
      <xdr:colOff>85725</xdr:colOff>
      <xdr:row>40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Month">
              <a:extLst>
                <a:ext uri="{FF2B5EF4-FFF2-40B4-BE49-F238E27FC236}">
                  <a16:creationId xmlns:a16="http://schemas.microsoft.com/office/drawing/2014/main" id="{326A3785-8B99-3319-2A96-E01A3B5FEE78}"/>
                </a:ext>
                <a:ext uri="{147F2762-F138-4A5C-976F-8EAC2B608ADB}">
                  <a16:predDERef xmlns:a16="http://schemas.microsoft.com/office/drawing/2014/main" pred="{80F9514C-593C-45BA-9D66-81DE1F2B15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4391025"/>
              <a:ext cx="1200150" cy="329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10</xdr:row>
      <xdr:rowOff>114300</xdr:rowOff>
    </xdr:from>
    <xdr:to>
      <xdr:col>2</xdr:col>
      <xdr:colOff>66675</xdr:colOff>
      <xdr:row>22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State">
              <a:extLst>
                <a:ext uri="{FF2B5EF4-FFF2-40B4-BE49-F238E27FC236}">
                  <a16:creationId xmlns:a16="http://schemas.microsoft.com/office/drawing/2014/main" id="{E3F55D04-A4E1-4285-65A1-EA2DA3B0B5A8}"/>
                </a:ext>
                <a:ext uri="{147F2762-F138-4A5C-976F-8EAC2B608ADB}">
                  <a16:predDERef xmlns:a16="http://schemas.microsoft.com/office/drawing/2014/main" pred="{326A3785-8B99-3319-2A96-E01A3B5FEE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095500"/>
              <a:ext cx="1190625" cy="219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6</xdr:row>
      <xdr:rowOff>142875</xdr:rowOff>
    </xdr:from>
    <xdr:to>
      <xdr:col>2</xdr:col>
      <xdr:colOff>66675</xdr:colOff>
      <xdr:row>10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Year">
              <a:extLst>
                <a:ext uri="{FF2B5EF4-FFF2-40B4-BE49-F238E27FC236}">
                  <a16:creationId xmlns:a16="http://schemas.microsoft.com/office/drawing/2014/main" id="{4EBD1E4B-F6E8-B20D-9010-A0A867E65BCE}"/>
                </a:ext>
                <a:ext uri="{147F2762-F138-4A5C-976F-8EAC2B608ADB}">
                  <a16:predDERef xmlns:a16="http://schemas.microsoft.com/office/drawing/2014/main" pred="{E3F55D04-A4E1-4285-65A1-EA2DA3B0B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285875"/>
              <a:ext cx="1181100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47625</xdr:colOff>
      <xdr:row>0</xdr:row>
      <xdr:rowOff>0</xdr:rowOff>
    </xdr:from>
    <xdr:to>
      <xdr:col>4</xdr:col>
      <xdr:colOff>266700</xdr:colOff>
      <xdr:row>5</xdr:row>
      <xdr:rowOff>66675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5CEAD7E-1CBA-6B00-DCF7-00811F371705}"/>
            </a:ext>
            <a:ext uri="{147F2762-F138-4A5C-976F-8EAC2B608ADB}">
              <a16:predDERef xmlns:a16="http://schemas.microsoft.com/office/drawing/2014/main" pred="{4EBD1E4B-F6E8-B20D-9010-A0A867E6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6825" y="0"/>
          <a:ext cx="1438275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2</xdr:col>
      <xdr:colOff>76200</xdr:colOff>
      <xdr:row>5</xdr:row>
      <xdr:rowOff>171450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0A0640B-BE07-9621-9C81-50C8EDAE07E4}"/>
            </a:ext>
            <a:ext uri="{147F2762-F138-4A5C-976F-8EAC2B608ADB}">
              <a16:predDERef xmlns:a16="http://schemas.microsoft.com/office/drawing/2014/main" pred="{55CEAD7E-1CBA-6B00-DCF7-00811F37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2162" r="12840" b="25000"/>
        <a:stretch>
          <a:fillRect/>
        </a:stretch>
      </xdr:blipFill>
      <xdr:spPr>
        <a:xfrm>
          <a:off x="38100" y="66675"/>
          <a:ext cx="1257300" cy="10572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644273379628" createdVersion="8" refreshedVersion="8" minRefreshableVersion="3" recordCount="100" xr:uid="{8B45A288-3FE7-4268-84A7-D3AFD140314B}">
  <cacheSource type="worksheet">
    <worksheetSource ref="A1:J101" sheet="Sheet1"/>
  </cacheSource>
  <cacheFields count="10">
    <cacheField name="Order Date" numFmtId="164">
      <sharedItems containsSemiMixedTypes="0" containsNonDate="0" containsDate="1" containsString="0" minDate="2023-01-08T00:00:00" maxDate="2024-10-14T00:00:00"/>
    </cacheField>
    <cacheField name="Customer Name" numFmtId="0">
      <sharedItems/>
    </cacheField>
    <cacheField name="State" numFmtId="0">
      <sharedItems count="8">
        <s v="Maharashtra"/>
        <s v="Delhi"/>
        <s v="West Bengal"/>
        <s v="Uttar Pradesh"/>
        <s v="Tamil Nadu"/>
        <s v="Gujarat"/>
        <s v="Karnataka"/>
        <s v="Rajasthan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Sales" numFmtId="0">
      <sharedItems containsSemiMixedTypes="0" containsString="0" containsNumber="1" minValue="548.70000000000005" maxValue="4989.24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-162.41999999999999" maxValue="1498.96"/>
    </cacheField>
    <cacheField name="Month" numFmtId="0">
      <sharedItems count="12">
        <s v="June"/>
        <s v="December"/>
        <s v="August"/>
        <s v="July"/>
        <s v="October"/>
        <s v="September"/>
        <s v="January"/>
        <s v="November"/>
        <s v="May"/>
        <s v="March"/>
        <s v="April"/>
        <s v="February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552390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3-06-12T00:00:00"/>
    <s v="Karan Joshi"/>
    <x v="0"/>
    <x v="0"/>
    <s v="Mobiles"/>
    <n v="4578.3100000000004"/>
    <n v="8"/>
    <n v="423.57"/>
    <x v="0"/>
    <x v="0"/>
  </r>
  <r>
    <d v="2023-12-05T00:00:00"/>
    <s v="Sneha Patel"/>
    <x v="0"/>
    <x v="1"/>
    <s v="Tables"/>
    <n v="1913.17"/>
    <n v="1"/>
    <n v="447.47"/>
    <x v="1"/>
    <x v="0"/>
  </r>
  <r>
    <d v="2023-12-26T00:00:00"/>
    <s v="Priya Singh"/>
    <x v="1"/>
    <x v="0"/>
    <s v="Laptops"/>
    <n v="1646.83"/>
    <n v="4"/>
    <n v="35.81"/>
    <x v="1"/>
    <x v="0"/>
  </r>
  <r>
    <d v="2023-08-28T00:00:00"/>
    <s v="Amit Sharma"/>
    <x v="2"/>
    <x v="1"/>
    <s v="Sofas"/>
    <n v="3675.05"/>
    <n v="9"/>
    <n v="802.5"/>
    <x v="2"/>
    <x v="0"/>
  </r>
  <r>
    <d v="2023-12-06T00:00:00"/>
    <s v="Neha Gupta"/>
    <x v="3"/>
    <x v="1"/>
    <s v="Bookcases"/>
    <n v="2633.1"/>
    <n v="4"/>
    <n v="873.78"/>
    <x v="1"/>
    <x v="0"/>
  </r>
  <r>
    <d v="2023-07-13T00:00:00"/>
    <s v="Amit Sharma"/>
    <x v="0"/>
    <x v="1"/>
    <s v="Sofas"/>
    <n v="2432.39"/>
    <n v="8"/>
    <n v="633.27"/>
    <x v="3"/>
    <x v="0"/>
  </r>
  <r>
    <d v="2023-10-16T00:00:00"/>
    <s v="Ankit Verma"/>
    <x v="3"/>
    <x v="1"/>
    <s v="Bookcases"/>
    <n v="1083.77"/>
    <n v="9"/>
    <n v="583.9"/>
    <x v="4"/>
    <x v="0"/>
  </r>
  <r>
    <d v="2023-06-11T00:00:00"/>
    <s v="Tina Malhotra"/>
    <x v="4"/>
    <x v="2"/>
    <s v="Pens"/>
    <n v="3922.79"/>
    <n v="6"/>
    <n v="824.92"/>
    <x v="0"/>
    <x v="0"/>
  </r>
  <r>
    <d v="2023-12-05T00:00:00"/>
    <s v="Ankit Verma"/>
    <x v="1"/>
    <x v="1"/>
    <s v="Tables"/>
    <n v="3099.62"/>
    <n v="2"/>
    <n v="893.31"/>
    <x v="1"/>
    <x v="0"/>
  </r>
  <r>
    <d v="2023-09-20T00:00:00"/>
    <s v="Priya Singh"/>
    <x v="5"/>
    <x v="0"/>
    <s v="Mobiles"/>
    <n v="4702.55"/>
    <n v="4"/>
    <n v="34.33"/>
    <x v="5"/>
    <x v="0"/>
  </r>
  <r>
    <d v="2023-06-23T00:00:00"/>
    <s v="Sneha Patel"/>
    <x v="6"/>
    <x v="1"/>
    <s v="Bookcases"/>
    <n v="4009.68"/>
    <n v="7"/>
    <n v="1062.8900000000001"/>
    <x v="0"/>
    <x v="0"/>
  </r>
  <r>
    <d v="2023-01-28T00:00:00"/>
    <s v="Amit Sharma"/>
    <x v="0"/>
    <x v="0"/>
    <s v="Printers"/>
    <n v="4623.43"/>
    <n v="3"/>
    <n v="215.69"/>
    <x v="6"/>
    <x v="0"/>
  </r>
  <r>
    <d v="2023-11-07T00:00:00"/>
    <s v="Amit Sharma"/>
    <x v="0"/>
    <x v="1"/>
    <s v="Sofas"/>
    <n v="2736.81"/>
    <n v="10"/>
    <n v="1041.04"/>
    <x v="7"/>
    <x v="0"/>
  </r>
  <r>
    <d v="2024-01-30T00:00:00"/>
    <s v="Ravi Iyer"/>
    <x v="2"/>
    <x v="0"/>
    <s v="Printers"/>
    <n v="2070.0100000000002"/>
    <n v="8"/>
    <n v="730.21"/>
    <x v="6"/>
    <x v="1"/>
  </r>
  <r>
    <d v="2024-05-01T00:00:00"/>
    <s v="Rahul Mehta"/>
    <x v="3"/>
    <x v="1"/>
    <s v="Tables"/>
    <n v="3104.96"/>
    <n v="10"/>
    <n v="1295.4000000000001"/>
    <x v="8"/>
    <x v="1"/>
  </r>
  <r>
    <d v="2023-09-25T00:00:00"/>
    <s v="Rahul Mehta"/>
    <x v="2"/>
    <x v="2"/>
    <s v="Storage"/>
    <n v="3381.96"/>
    <n v="7"/>
    <n v="418.41"/>
    <x v="5"/>
    <x v="0"/>
  </r>
  <r>
    <d v="2023-06-10T00:00:00"/>
    <s v="Neha Gupta"/>
    <x v="2"/>
    <x v="0"/>
    <s v="Mobiles"/>
    <n v="3569.03"/>
    <n v="4"/>
    <n v="1145.23"/>
    <x v="0"/>
    <x v="0"/>
  </r>
  <r>
    <d v="2024-03-12T00:00:00"/>
    <s v="Divya Nair"/>
    <x v="7"/>
    <x v="1"/>
    <s v="Tables"/>
    <n v="4184.3599999999997"/>
    <n v="7"/>
    <n v="660.82"/>
    <x v="9"/>
    <x v="1"/>
  </r>
  <r>
    <d v="2023-09-30T00:00:00"/>
    <s v="Sneha Patel"/>
    <x v="0"/>
    <x v="1"/>
    <s v="Bookcases"/>
    <n v="4503.88"/>
    <n v="10"/>
    <n v="1432.88"/>
    <x v="5"/>
    <x v="0"/>
  </r>
  <r>
    <d v="2023-04-11T00:00:00"/>
    <s v="Amit Sharma"/>
    <x v="6"/>
    <x v="1"/>
    <s v="Sofas"/>
    <n v="3901.59"/>
    <n v="10"/>
    <n v="506.45"/>
    <x v="10"/>
    <x v="0"/>
  </r>
  <r>
    <d v="2024-02-06T00:00:00"/>
    <s v="Sneha Patel"/>
    <x v="7"/>
    <x v="1"/>
    <s v="Sofas"/>
    <n v="2424.89"/>
    <n v="6"/>
    <n v="1401.88"/>
    <x v="11"/>
    <x v="1"/>
  </r>
  <r>
    <d v="2023-08-03T00:00:00"/>
    <s v="Amit Sharma"/>
    <x v="5"/>
    <x v="2"/>
    <s v="Paper"/>
    <n v="3856.61"/>
    <n v="3"/>
    <n v="994.26"/>
    <x v="2"/>
    <x v="0"/>
  </r>
  <r>
    <d v="2024-09-19T00:00:00"/>
    <s v="Priya Singh"/>
    <x v="4"/>
    <x v="0"/>
    <s v="Headphones"/>
    <n v="576.97"/>
    <n v="2"/>
    <n v="1040.08"/>
    <x v="5"/>
    <x v="1"/>
  </r>
  <r>
    <d v="2023-07-10T00:00:00"/>
    <s v="Amit Sharma"/>
    <x v="7"/>
    <x v="0"/>
    <s v="Printers"/>
    <n v="3059.07"/>
    <n v="10"/>
    <n v="1414.85"/>
    <x v="3"/>
    <x v="0"/>
  </r>
  <r>
    <d v="2023-12-22T00:00:00"/>
    <s v="Tina Malhotra"/>
    <x v="2"/>
    <x v="2"/>
    <s v="Paper"/>
    <n v="4314.88"/>
    <n v="5"/>
    <n v="655.37"/>
    <x v="1"/>
    <x v="0"/>
  </r>
  <r>
    <d v="2024-01-05T00:00:00"/>
    <s v="Priya Singh"/>
    <x v="7"/>
    <x v="2"/>
    <s v="Binders"/>
    <n v="4473.0600000000004"/>
    <n v="4"/>
    <n v="126.39"/>
    <x v="6"/>
    <x v="1"/>
  </r>
  <r>
    <d v="2023-09-21T00:00:00"/>
    <s v="Tina Malhotra"/>
    <x v="5"/>
    <x v="2"/>
    <s v="Storage"/>
    <n v="1565.27"/>
    <n v="6"/>
    <n v="1205"/>
    <x v="5"/>
    <x v="0"/>
  </r>
  <r>
    <d v="2024-03-27T00:00:00"/>
    <s v="Ankit Verma"/>
    <x v="7"/>
    <x v="0"/>
    <s v="Laptops"/>
    <n v="3286.34"/>
    <n v="3"/>
    <n v="702.8"/>
    <x v="9"/>
    <x v="1"/>
  </r>
  <r>
    <d v="2023-07-01T00:00:00"/>
    <s v="Priya Singh"/>
    <x v="2"/>
    <x v="2"/>
    <s v="Storage"/>
    <n v="3421.29"/>
    <n v="7"/>
    <n v="963.18"/>
    <x v="3"/>
    <x v="0"/>
  </r>
  <r>
    <d v="2023-07-11T00:00:00"/>
    <s v="Amit Sharma"/>
    <x v="4"/>
    <x v="0"/>
    <s v="Laptops"/>
    <n v="3965.25"/>
    <n v="7"/>
    <n v="-162.41999999999999"/>
    <x v="3"/>
    <x v="0"/>
  </r>
  <r>
    <d v="2024-10-03T00:00:00"/>
    <s v="Rahul Mehta"/>
    <x v="0"/>
    <x v="0"/>
    <s v="Laptops"/>
    <n v="1076.3699999999999"/>
    <n v="10"/>
    <n v="138.32"/>
    <x v="4"/>
    <x v="1"/>
  </r>
  <r>
    <d v="2023-10-19T00:00:00"/>
    <s v="Sneha Patel"/>
    <x v="4"/>
    <x v="1"/>
    <s v="Tables"/>
    <n v="4079.64"/>
    <n v="6"/>
    <n v="907.08"/>
    <x v="4"/>
    <x v="0"/>
  </r>
  <r>
    <d v="2023-03-01T00:00:00"/>
    <s v="Neha Gupta"/>
    <x v="4"/>
    <x v="1"/>
    <s v="Tables"/>
    <n v="3248.71"/>
    <n v="8"/>
    <n v="538.61"/>
    <x v="9"/>
    <x v="0"/>
  </r>
  <r>
    <d v="2023-03-27T00:00:00"/>
    <s v="Ravi Iyer"/>
    <x v="1"/>
    <x v="2"/>
    <s v="Paper"/>
    <n v="3413.1"/>
    <n v="10"/>
    <n v="1436.95"/>
    <x v="9"/>
    <x v="0"/>
  </r>
  <r>
    <d v="2023-09-03T00:00:00"/>
    <s v="Divya Nair"/>
    <x v="0"/>
    <x v="0"/>
    <s v="Laptops"/>
    <n v="2148.9699999999998"/>
    <n v="4"/>
    <n v="713.01"/>
    <x v="5"/>
    <x v="0"/>
  </r>
  <r>
    <d v="2024-04-03T00:00:00"/>
    <s v="Karan Joshi"/>
    <x v="5"/>
    <x v="2"/>
    <s v="Binders"/>
    <n v="1341.77"/>
    <n v="1"/>
    <n v="975.45"/>
    <x v="10"/>
    <x v="1"/>
  </r>
  <r>
    <d v="2023-08-23T00:00:00"/>
    <s v="Amit Sharma"/>
    <x v="7"/>
    <x v="2"/>
    <s v="Paper"/>
    <n v="2748.73"/>
    <n v="6"/>
    <n v="575.83000000000004"/>
    <x v="2"/>
    <x v="0"/>
  </r>
  <r>
    <d v="2023-08-11T00:00:00"/>
    <s v="Neha Gupta"/>
    <x v="2"/>
    <x v="0"/>
    <s v="Headphones"/>
    <n v="1165.8399999999999"/>
    <n v="7"/>
    <n v="1485.96"/>
    <x v="2"/>
    <x v="0"/>
  </r>
  <r>
    <d v="2023-10-27T00:00:00"/>
    <s v="Karan Joshi"/>
    <x v="3"/>
    <x v="1"/>
    <s v="Chairs"/>
    <n v="3245.73"/>
    <n v="4"/>
    <n v="403.01"/>
    <x v="4"/>
    <x v="0"/>
  </r>
  <r>
    <d v="2024-08-19T00:00:00"/>
    <s v="Divya Nair"/>
    <x v="6"/>
    <x v="2"/>
    <s v="Binders"/>
    <n v="1317.76"/>
    <n v="10"/>
    <n v="1237.69"/>
    <x v="2"/>
    <x v="1"/>
  </r>
  <r>
    <d v="2024-01-29T00:00:00"/>
    <s v="Amit Sharma"/>
    <x v="2"/>
    <x v="0"/>
    <s v="Printers"/>
    <n v="4034.25"/>
    <n v="7"/>
    <n v="330.41"/>
    <x v="6"/>
    <x v="1"/>
  </r>
  <r>
    <d v="2023-04-25T00:00:00"/>
    <s v="Karan Joshi"/>
    <x v="6"/>
    <x v="1"/>
    <s v="Bookcases"/>
    <n v="4310.8999999999996"/>
    <n v="5"/>
    <n v="85.88"/>
    <x v="10"/>
    <x v="0"/>
  </r>
  <r>
    <d v="2024-07-03T00:00:00"/>
    <s v="Ankit Verma"/>
    <x v="6"/>
    <x v="1"/>
    <s v="Bookcases"/>
    <n v="1259.3499999999999"/>
    <n v="10"/>
    <n v="1041.04"/>
    <x v="3"/>
    <x v="1"/>
  </r>
  <r>
    <d v="2023-09-16T00:00:00"/>
    <s v="Priya Singh"/>
    <x v="1"/>
    <x v="0"/>
    <s v="Printers"/>
    <n v="2339.9699999999998"/>
    <n v="1"/>
    <n v="1333.39"/>
    <x v="5"/>
    <x v="0"/>
  </r>
  <r>
    <d v="2024-08-26T00:00:00"/>
    <s v="Ankit Verma"/>
    <x v="6"/>
    <x v="2"/>
    <s v="Paper"/>
    <n v="3619.89"/>
    <n v="9"/>
    <n v="1389.81"/>
    <x v="2"/>
    <x v="1"/>
  </r>
  <r>
    <d v="2024-06-07T00:00:00"/>
    <s v="Ankit Verma"/>
    <x v="6"/>
    <x v="1"/>
    <s v="Chairs"/>
    <n v="3568.59"/>
    <n v="5"/>
    <n v="1388.17"/>
    <x v="0"/>
    <x v="1"/>
  </r>
  <r>
    <d v="2023-09-03T00:00:00"/>
    <s v="Rahul Mehta"/>
    <x v="2"/>
    <x v="0"/>
    <s v="Laptops"/>
    <n v="3552.93"/>
    <n v="9"/>
    <n v="185.22"/>
    <x v="5"/>
    <x v="0"/>
  </r>
  <r>
    <d v="2023-10-14T00:00:00"/>
    <s v="Priya Singh"/>
    <x v="4"/>
    <x v="0"/>
    <s v="Headphones"/>
    <n v="3277.77"/>
    <n v="4"/>
    <n v="-101.98"/>
    <x v="4"/>
    <x v="0"/>
  </r>
  <r>
    <d v="2023-05-02T00:00:00"/>
    <s v="Ankit Verma"/>
    <x v="3"/>
    <x v="1"/>
    <s v="Chairs"/>
    <n v="3070.82"/>
    <n v="2"/>
    <n v="485.86"/>
    <x v="8"/>
    <x v="0"/>
  </r>
  <r>
    <d v="2023-12-31T00:00:00"/>
    <s v="Ankit Verma"/>
    <x v="1"/>
    <x v="1"/>
    <s v="Chairs"/>
    <n v="574.29"/>
    <n v="9"/>
    <n v="683.16"/>
    <x v="1"/>
    <x v="0"/>
  </r>
  <r>
    <d v="2023-09-11T00:00:00"/>
    <s v="Ankit Verma"/>
    <x v="0"/>
    <x v="2"/>
    <s v="Paper"/>
    <n v="4331.76"/>
    <n v="4"/>
    <n v="-99.51"/>
    <x v="5"/>
    <x v="0"/>
  </r>
  <r>
    <d v="2023-05-20T00:00:00"/>
    <s v="Neha Gupta"/>
    <x v="4"/>
    <x v="0"/>
    <s v="Printers"/>
    <n v="1100.6500000000001"/>
    <n v="3"/>
    <n v="50.16"/>
    <x v="8"/>
    <x v="0"/>
  </r>
  <r>
    <d v="2024-04-13T00:00:00"/>
    <s v="Neha Gupta"/>
    <x v="2"/>
    <x v="1"/>
    <s v="Chairs"/>
    <n v="2288.4"/>
    <n v="2"/>
    <n v="103.83"/>
    <x v="10"/>
    <x v="1"/>
  </r>
  <r>
    <d v="2024-08-08T00:00:00"/>
    <s v="Rahul Mehta"/>
    <x v="7"/>
    <x v="1"/>
    <s v="Chairs"/>
    <n v="4574.07"/>
    <n v="6"/>
    <n v="1496.76"/>
    <x v="2"/>
    <x v="1"/>
  </r>
  <r>
    <d v="2023-11-29T00:00:00"/>
    <s v="Amit Sharma"/>
    <x v="2"/>
    <x v="1"/>
    <s v="Sofas"/>
    <n v="4148.78"/>
    <n v="8"/>
    <n v="862.94"/>
    <x v="7"/>
    <x v="0"/>
  </r>
  <r>
    <d v="2023-07-26T00:00:00"/>
    <s v="Amit Sharma"/>
    <x v="2"/>
    <x v="2"/>
    <s v="Paper"/>
    <n v="2141.5500000000002"/>
    <n v="7"/>
    <n v="5.87"/>
    <x v="3"/>
    <x v="0"/>
  </r>
  <r>
    <d v="2024-02-28T00:00:00"/>
    <s v="Karan Joshi"/>
    <x v="3"/>
    <x v="2"/>
    <s v="Storage"/>
    <n v="3865.23"/>
    <n v="5"/>
    <n v="495.96"/>
    <x v="11"/>
    <x v="1"/>
  </r>
  <r>
    <d v="2023-10-25T00:00:00"/>
    <s v="Ankit Verma"/>
    <x v="5"/>
    <x v="2"/>
    <s v="Binders"/>
    <n v="2620.46"/>
    <n v="3"/>
    <n v="1164.5899999999999"/>
    <x v="4"/>
    <x v="0"/>
  </r>
  <r>
    <d v="2024-09-12T00:00:00"/>
    <s v="Divya Nair"/>
    <x v="5"/>
    <x v="2"/>
    <s v="Binders"/>
    <n v="1817.21"/>
    <n v="5"/>
    <n v="1056.32"/>
    <x v="5"/>
    <x v="1"/>
  </r>
  <r>
    <d v="2023-06-08T00:00:00"/>
    <s v="Priya Singh"/>
    <x v="4"/>
    <x v="2"/>
    <s v="Pens"/>
    <n v="3131.56"/>
    <n v="8"/>
    <n v="389.33"/>
    <x v="0"/>
    <x v="0"/>
  </r>
  <r>
    <d v="2024-04-18T00:00:00"/>
    <s v="Amit Sharma"/>
    <x v="3"/>
    <x v="1"/>
    <s v="Tables"/>
    <n v="698.77"/>
    <n v="10"/>
    <n v="259.04000000000002"/>
    <x v="10"/>
    <x v="1"/>
  </r>
  <r>
    <d v="2024-04-12T00:00:00"/>
    <s v="Rahul Mehta"/>
    <x v="0"/>
    <x v="2"/>
    <s v="Paper"/>
    <n v="3579.09"/>
    <n v="10"/>
    <n v="353.27"/>
    <x v="10"/>
    <x v="1"/>
  </r>
  <r>
    <d v="2023-07-30T00:00:00"/>
    <s v="Neha Gupta"/>
    <x v="4"/>
    <x v="1"/>
    <s v="Tables"/>
    <n v="767.23"/>
    <n v="1"/>
    <n v="557.48"/>
    <x v="3"/>
    <x v="0"/>
  </r>
  <r>
    <d v="2023-09-01T00:00:00"/>
    <s v="Neha Gupta"/>
    <x v="7"/>
    <x v="1"/>
    <s v="Bookcases"/>
    <n v="886.14"/>
    <n v="6"/>
    <n v="577.5"/>
    <x v="5"/>
    <x v="0"/>
  </r>
  <r>
    <d v="2023-09-23T00:00:00"/>
    <s v="Neha Gupta"/>
    <x v="2"/>
    <x v="0"/>
    <s v="Mobiles"/>
    <n v="549.58000000000004"/>
    <n v="2"/>
    <n v="-88.12"/>
    <x v="5"/>
    <x v="0"/>
  </r>
  <r>
    <d v="2023-10-06T00:00:00"/>
    <s v="Neha Gupta"/>
    <x v="3"/>
    <x v="0"/>
    <s v="Headphones"/>
    <n v="644.04999999999995"/>
    <n v="7"/>
    <n v="700.99"/>
    <x v="4"/>
    <x v="0"/>
  </r>
  <r>
    <d v="2023-03-20T00:00:00"/>
    <s v="Rahul Mehta"/>
    <x v="3"/>
    <x v="2"/>
    <s v="Binders"/>
    <n v="4665.62"/>
    <n v="2"/>
    <n v="1073.4100000000001"/>
    <x v="9"/>
    <x v="0"/>
  </r>
  <r>
    <d v="2023-12-06T00:00:00"/>
    <s v="Rahul Mehta"/>
    <x v="0"/>
    <x v="2"/>
    <s v="Storage"/>
    <n v="4308.33"/>
    <n v="9"/>
    <n v="155.41"/>
    <x v="1"/>
    <x v="0"/>
  </r>
  <r>
    <d v="2023-12-04T00:00:00"/>
    <s v="Sneha Patel"/>
    <x v="0"/>
    <x v="1"/>
    <s v="Bookcases"/>
    <n v="571.70000000000005"/>
    <n v="7"/>
    <n v="719.04"/>
    <x v="1"/>
    <x v="0"/>
  </r>
  <r>
    <d v="2024-01-15T00:00:00"/>
    <s v="Amit Sharma"/>
    <x v="7"/>
    <x v="2"/>
    <s v="Binders"/>
    <n v="775.13"/>
    <n v="6"/>
    <n v="1073.79"/>
    <x v="6"/>
    <x v="1"/>
  </r>
  <r>
    <d v="2023-09-11T00:00:00"/>
    <s v="Priya Singh"/>
    <x v="3"/>
    <x v="0"/>
    <s v="Mobiles"/>
    <n v="4989.24"/>
    <n v="4"/>
    <n v="700.28"/>
    <x v="5"/>
    <x v="0"/>
  </r>
  <r>
    <d v="2024-05-21T00:00:00"/>
    <s v="Tina Malhotra"/>
    <x v="2"/>
    <x v="0"/>
    <s v="Mobiles"/>
    <n v="1516.16"/>
    <n v="3"/>
    <n v="-133.46"/>
    <x v="8"/>
    <x v="1"/>
  </r>
  <r>
    <d v="2024-06-10T00:00:00"/>
    <s v="Karan Joshi"/>
    <x v="6"/>
    <x v="0"/>
    <s v="Headphones"/>
    <n v="4782.66"/>
    <n v="1"/>
    <n v="1039.42"/>
    <x v="0"/>
    <x v="1"/>
  </r>
  <r>
    <d v="2023-06-18T00:00:00"/>
    <s v="Karan Joshi"/>
    <x v="5"/>
    <x v="2"/>
    <s v="Binders"/>
    <n v="1262.6600000000001"/>
    <n v="2"/>
    <n v="139.1"/>
    <x v="0"/>
    <x v="0"/>
  </r>
  <r>
    <d v="2024-01-12T00:00:00"/>
    <s v="Amit Sharma"/>
    <x v="3"/>
    <x v="1"/>
    <s v="Bookcases"/>
    <n v="3665.52"/>
    <n v="1"/>
    <n v="-51.34"/>
    <x v="6"/>
    <x v="1"/>
  </r>
  <r>
    <d v="2024-07-10T00:00:00"/>
    <s v="Karan Joshi"/>
    <x v="6"/>
    <x v="1"/>
    <s v="Chairs"/>
    <n v="652.13"/>
    <n v="8"/>
    <n v="1288.1199999999999"/>
    <x v="3"/>
    <x v="1"/>
  </r>
  <r>
    <d v="2023-10-04T00:00:00"/>
    <s v="Tina Malhotra"/>
    <x v="6"/>
    <x v="2"/>
    <s v="Storage"/>
    <n v="3431.41"/>
    <n v="5"/>
    <n v="1113.46"/>
    <x v="4"/>
    <x v="0"/>
  </r>
  <r>
    <d v="2024-04-24T00:00:00"/>
    <s v="Amit Sharma"/>
    <x v="3"/>
    <x v="1"/>
    <s v="Sofas"/>
    <n v="1140.69"/>
    <n v="10"/>
    <n v="247.77"/>
    <x v="10"/>
    <x v="1"/>
  </r>
  <r>
    <d v="2023-11-16T00:00:00"/>
    <s v="Amit Sharma"/>
    <x v="4"/>
    <x v="1"/>
    <s v="Chairs"/>
    <n v="3359.89"/>
    <n v="5"/>
    <n v="1450.18"/>
    <x v="7"/>
    <x v="0"/>
  </r>
  <r>
    <d v="2024-05-30T00:00:00"/>
    <s v="Sneha Patel"/>
    <x v="1"/>
    <x v="0"/>
    <s v="Laptops"/>
    <n v="3399.62"/>
    <n v="5"/>
    <n v="901.76"/>
    <x v="8"/>
    <x v="1"/>
  </r>
  <r>
    <d v="2023-11-15T00:00:00"/>
    <s v="Rahul Mehta"/>
    <x v="0"/>
    <x v="0"/>
    <s v="Laptops"/>
    <n v="1378.86"/>
    <n v="10"/>
    <n v="287.47000000000003"/>
    <x v="7"/>
    <x v="0"/>
  </r>
  <r>
    <d v="2023-08-01T00:00:00"/>
    <s v="Neha Gupta"/>
    <x v="4"/>
    <x v="2"/>
    <s v="Storage"/>
    <n v="2325.2199999999998"/>
    <n v="7"/>
    <n v="1301.58"/>
    <x v="2"/>
    <x v="0"/>
  </r>
  <r>
    <d v="2023-10-31T00:00:00"/>
    <s v="Ankit Verma"/>
    <x v="7"/>
    <x v="2"/>
    <s v="Binders"/>
    <n v="749.68"/>
    <n v="3"/>
    <n v="281.69"/>
    <x v="4"/>
    <x v="0"/>
  </r>
  <r>
    <d v="2023-03-14T00:00:00"/>
    <s v="Ankit Verma"/>
    <x v="1"/>
    <x v="1"/>
    <s v="Sofas"/>
    <n v="2293.9299999999998"/>
    <n v="2"/>
    <n v="1288.3900000000001"/>
    <x v="9"/>
    <x v="0"/>
  </r>
  <r>
    <d v="2023-09-22T00:00:00"/>
    <s v="Neha Gupta"/>
    <x v="7"/>
    <x v="1"/>
    <s v="Sofas"/>
    <n v="1962.91"/>
    <n v="2"/>
    <n v="566.21"/>
    <x v="5"/>
    <x v="0"/>
  </r>
  <r>
    <d v="2024-07-01T00:00:00"/>
    <s v="Ankit Verma"/>
    <x v="3"/>
    <x v="1"/>
    <s v="Tables"/>
    <n v="4255.83"/>
    <n v="7"/>
    <n v="909.27"/>
    <x v="3"/>
    <x v="1"/>
  </r>
  <r>
    <d v="2024-08-08T00:00:00"/>
    <s v="Rahul Mehta"/>
    <x v="3"/>
    <x v="0"/>
    <s v="Laptops"/>
    <n v="2141.85"/>
    <n v="6"/>
    <n v="664.24"/>
    <x v="2"/>
    <x v="1"/>
  </r>
  <r>
    <d v="2023-02-07T00:00:00"/>
    <s v="Tina Malhotra"/>
    <x v="1"/>
    <x v="0"/>
    <s v="Printers"/>
    <n v="4522.5200000000004"/>
    <n v="4"/>
    <n v="1432.83"/>
    <x v="11"/>
    <x v="0"/>
  </r>
  <r>
    <d v="2023-03-03T00:00:00"/>
    <s v="Amit Sharma"/>
    <x v="1"/>
    <x v="2"/>
    <s v="Pens"/>
    <n v="3343.81"/>
    <n v="7"/>
    <n v="-99.65"/>
    <x v="9"/>
    <x v="0"/>
  </r>
  <r>
    <d v="2024-04-18T00:00:00"/>
    <s v="Amit Sharma"/>
    <x v="6"/>
    <x v="2"/>
    <s v="Paper"/>
    <n v="1623.9"/>
    <n v="7"/>
    <n v="717.23"/>
    <x v="10"/>
    <x v="1"/>
  </r>
  <r>
    <d v="2024-09-10T00:00:00"/>
    <s v="Priya Singh"/>
    <x v="1"/>
    <x v="0"/>
    <s v="Printers"/>
    <n v="548.70000000000005"/>
    <n v="2"/>
    <n v="1076.02"/>
    <x v="5"/>
    <x v="1"/>
  </r>
  <r>
    <d v="2023-08-15T00:00:00"/>
    <s v="Tina Malhotra"/>
    <x v="1"/>
    <x v="2"/>
    <s v="Storage"/>
    <n v="3782.22"/>
    <n v="10"/>
    <n v="1498.96"/>
    <x v="2"/>
    <x v="0"/>
  </r>
  <r>
    <d v="2023-09-03T00:00:00"/>
    <s v="Divya Nair"/>
    <x v="5"/>
    <x v="0"/>
    <s v="Headphones"/>
    <n v="3799.24"/>
    <n v="10"/>
    <n v="1121.93"/>
    <x v="5"/>
    <x v="0"/>
  </r>
  <r>
    <d v="2023-11-06T00:00:00"/>
    <s v="Neha Gupta"/>
    <x v="4"/>
    <x v="2"/>
    <s v="Paper"/>
    <n v="925.59"/>
    <n v="2"/>
    <n v="899.81"/>
    <x v="7"/>
    <x v="0"/>
  </r>
  <r>
    <d v="2023-07-09T00:00:00"/>
    <s v="Divya Nair"/>
    <x v="0"/>
    <x v="1"/>
    <s v="Chairs"/>
    <n v="3919.4"/>
    <n v="3"/>
    <n v="-53.08"/>
    <x v="3"/>
    <x v="0"/>
  </r>
  <r>
    <d v="2024-09-27T00:00:00"/>
    <s v="Sneha Patel"/>
    <x v="0"/>
    <x v="0"/>
    <s v="Headphones"/>
    <n v="2129.2199999999998"/>
    <n v="4"/>
    <n v="102.46"/>
    <x v="5"/>
    <x v="1"/>
  </r>
  <r>
    <d v="2023-01-08T00:00:00"/>
    <s v="Ravi Iyer"/>
    <x v="2"/>
    <x v="1"/>
    <s v="Bookcases"/>
    <n v="2916.29"/>
    <n v="2"/>
    <n v="157.5"/>
    <x v="6"/>
    <x v="0"/>
  </r>
  <r>
    <d v="2024-10-13T00:00:00"/>
    <s v="Karan Joshi"/>
    <x v="7"/>
    <x v="1"/>
    <s v="Chairs"/>
    <n v="3185.09"/>
    <n v="6"/>
    <n v="657.07"/>
    <x v="4"/>
    <x v="1"/>
  </r>
  <r>
    <d v="2024-04-20T00:00:00"/>
    <s v="Ankit Verma"/>
    <x v="6"/>
    <x v="1"/>
    <s v="Tables"/>
    <n v="567.46"/>
    <n v="5"/>
    <n v="1491.28"/>
    <x v="10"/>
    <x v="1"/>
  </r>
  <r>
    <d v="2023-01-18T00:00:00"/>
    <s v="Sneha Patel"/>
    <x v="6"/>
    <x v="1"/>
    <s v="Tables"/>
    <n v="4920.41"/>
    <n v="3"/>
    <n v="1033.22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93D6D-D0CC-4275-A8DD-6D1566AA8B58}" name="PivotTable8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BL2:BM6" firstHeaderRow="1" firstDataRow="1" firstDataCol="1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7" baseField="0" baseItem="0"/>
  </dataFields>
  <chartFormats count="28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BB695-87F9-42EC-8370-501EAA4DA71D}" name="PivotTable4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Z2:BA15" firstHeaderRow="1" firstDataRow="1" firstDataCol="1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16148-4CDE-4DFE-A3DA-EDA67F4C809F}" name="PivotTable2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T2:AU5" firstHeaderRow="1" firstDataRow="1" firstDataCol="1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Profit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1D9E0-FC17-4FC6-83F5-B9A029BD9C40}" name="PivotTable3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W2:AX5" firstHeaderRow="1" firstDataRow="1" firstDataCol="1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565CD-18A0-4AF4-90F8-C1D955A87ABB}" name="PivotTable6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F2:BG11" firstHeaderRow="1" firstDataRow="1" firstDataCol="1"/>
  <pivotFields count="10">
    <pivotField compact="0" numFmtId="164" outline="0" showAll="0"/>
    <pivotField compact="0" outline="0" showAll="0"/>
    <pivotField axis="axisRow"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84D86-9BAB-4564-8933-E442BB391B49}" name="PivotTable1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Q2:AR3" firstHeaderRow="0" firstDataRow="1" firstDataCol="0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71480-2DAB-41DE-BAB9-7F777D5C49B4}" name="PivotTable5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BC2:BD15" firstHeaderRow="1" firstDataRow="1" firstDataCol="1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7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CE56C-D333-4F69-A7D2-660D81E53762}" name="PivotTable7" cacheId="1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I2:BJ6" firstHeaderRow="1" firstDataRow="1" firstDataCol="1"/>
  <pivotFields count="10">
    <pivotField compact="0" numFmtId="164" outline="0" showAll="0"/>
    <pivotField compact="0" outline="0" showAll="0"/>
    <pivotField compact="0" outline="0" showAll="0">
      <items count="9">
        <item x="1"/>
        <item x="5"/>
        <item x="6"/>
        <item x="0"/>
        <item x="7"/>
        <item x="4"/>
        <item x="3"/>
        <item x="2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6"/>
        <item x="11"/>
        <item x="9"/>
        <item x="10"/>
        <item x="8"/>
        <item x="0"/>
        <item x="3"/>
        <item x="2"/>
        <item x="5"/>
        <item x="4"/>
        <item x="7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ABFD78C4-328E-4EC0-B6F4-D597A425C5F7}" sourceName="Month">
  <pivotTables>
    <pivotTable tabId="3" name="PivotTable1"/>
    <pivotTable tabId="3" name="PivotTable3"/>
    <pivotTable tabId="3" name="PivotTable7"/>
    <pivotTable tabId="3" name="PivotTable5"/>
    <pivotTable tabId="3" name="PivotTable4"/>
    <pivotTable tabId="3" name="PivotTable8"/>
    <pivotTable tabId="3" name="PivotTable2"/>
    <pivotTable tabId="3" name="PivotTable6"/>
  </pivotTables>
  <data>
    <tabular pivotCacheId="552390108">
      <items count="12">
        <i x="6" s="1"/>
        <i x="11" s="1"/>
        <i x="9" s="1"/>
        <i x="10" s="1"/>
        <i x="8" s="1"/>
        <i x="0" s="1"/>
        <i x="3" s="1"/>
        <i x="2" s="1"/>
        <i x="5" s="1"/>
        <i x="4" s="1"/>
        <i x="7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0247D606-9C2F-4937-B5A5-B775CC7D22FF}" sourceName="State">
  <pivotTables>
    <pivotTable tabId="3" name="PivotTable2"/>
    <pivotTable tabId="3" name="PivotTable4"/>
    <pivotTable tabId="3" name="PivotTable8"/>
    <pivotTable tabId="3" name="PivotTable3"/>
    <pivotTable tabId="3" name="PivotTable1"/>
    <pivotTable tabId="3" name="PivotTable5"/>
    <pivotTable tabId="3" name="PivotTable7"/>
    <pivotTable tabId="3" name="PivotTable6"/>
  </pivotTables>
  <data>
    <tabular pivotCacheId="552390108">
      <items count="8">
        <i x="1" s="1"/>
        <i x="5" s="1"/>
        <i x="6" s="1"/>
        <i x="0" s="1"/>
        <i x="7" s="1"/>
        <i x="4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F684A548-522C-459A-9D21-04173A65F775}" sourceName="Year">
  <pivotTables>
    <pivotTable tabId="3" name="PivotTable2"/>
    <pivotTable tabId="3" name="PivotTable3"/>
    <pivotTable tabId="3" name="PivotTable1"/>
    <pivotTable tabId="3" name="PivotTable7"/>
    <pivotTable tabId="3" name="PivotTable5"/>
    <pivotTable tabId="3" name="PivotTable4"/>
    <pivotTable tabId="3" name="PivotTable8"/>
    <pivotTable tabId="3" name="PivotTable6"/>
  </pivotTables>
  <data>
    <tabular pivotCacheId="552390108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1639C908-F2EF-4872-AD77-16248F400B2B}" cache="Slicer_Month" caption="Month" showCaption="0" style="SlicerStyleLight6" rowHeight="228600"/>
  <slicer name="State" xr10:uid="{A589A707-8103-4FD5-A489-28EA60A00048}" cache="Slicer_State" caption="State" showCaption="0" style="SlicerStyleLight5" rowHeight="228600"/>
  <slicer name="Year" xr10:uid="{BEEB59B5-E5B6-4DD4-8CDA-EB1C32BC3B26}" cache="Slicer_Year" caption="Year" showCaption="0" style="SlicerStyleLight2" rowHeight="2286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AEE6-2F20-4907-9F2A-A90523B37540}">
  <dimension ref="A1"/>
  <sheetViews>
    <sheetView topLeftCell="A3" workbookViewId="0">
      <selection activeCell="A3" sqref="A3"/>
    </sheetView>
  </sheetViews>
  <sheetFormatPr defaultRowHeight="15"/>
  <cols>
    <col min="1" max="1" width="12.5703125" bestFit="1" customWidth="1"/>
    <col min="2" max="2" width="12.140625" bestFit="1" customWidth="1"/>
    <col min="4" max="4" width="11.42578125" bestFit="1" customWidth="1"/>
    <col min="5" max="5" width="12.5703125" bestFit="1" customWidth="1"/>
    <col min="7" max="7" width="11.42578125" bestFit="1" customWidth="1"/>
    <col min="8" max="9" width="12.140625" bestFit="1" customWidth="1"/>
    <col min="10" max="10" width="11.42578125" bestFit="1" customWidth="1"/>
    <col min="11" max="11" width="12.140625" bestFit="1" customWidth="1"/>
    <col min="13" max="13" width="11.42578125" bestFit="1" customWidth="1"/>
    <col min="14" max="14" width="12.5703125" bestFit="1" customWidth="1"/>
    <col min="16" max="16" width="13" bestFit="1" customWidth="1"/>
    <col min="17" max="17" width="12.140625" bestFit="1" customWidth="1"/>
    <col min="19" max="19" width="13.7109375" bestFit="1" customWidth="1"/>
    <col min="20" max="20" width="12.140625" bestFit="1" customWidth="1"/>
    <col min="22" max="22" width="13.7109375" bestFit="1" customWidth="1"/>
    <col min="23" max="23" width="12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4008-9E41-4DBD-85A7-7FDB83323B39}">
  <dimension ref="F2:BM48"/>
  <sheetViews>
    <sheetView showGridLines="0" tabSelected="1" workbookViewId="0">
      <selection activeCell="AB10" sqref="AB10"/>
    </sheetView>
  </sheetViews>
  <sheetFormatPr defaultRowHeight="15"/>
  <cols>
    <col min="43" max="43" width="12.5703125" bestFit="1" customWidth="1"/>
    <col min="44" max="44" width="12.140625" bestFit="1" customWidth="1"/>
    <col min="46" max="46" width="11.42578125" bestFit="1" customWidth="1"/>
    <col min="47" max="47" width="12.5703125" bestFit="1" customWidth="1"/>
    <col min="49" max="49" width="11.42578125" bestFit="1" customWidth="1"/>
    <col min="50" max="50" width="12.140625" bestFit="1" customWidth="1"/>
    <col min="52" max="52" width="11.42578125" bestFit="1" customWidth="1"/>
    <col min="53" max="53" width="12.140625" bestFit="1" customWidth="1"/>
    <col min="55" max="55" width="11.42578125" bestFit="1" customWidth="1"/>
    <col min="56" max="56" width="12.5703125" bestFit="1" customWidth="1"/>
    <col min="58" max="58" width="13" bestFit="1" customWidth="1"/>
    <col min="59" max="59" width="12.140625" bestFit="1" customWidth="1"/>
    <col min="61" max="61" width="13.7109375" bestFit="1" customWidth="1"/>
    <col min="62" max="62" width="12.140625" bestFit="1" customWidth="1"/>
    <col min="64" max="64" width="13.7109375" bestFit="1" customWidth="1"/>
    <col min="65" max="65" width="12.5703125" bestFit="1" customWidth="1"/>
  </cols>
  <sheetData>
    <row r="2" spans="43:65">
      <c r="AQ2" t="s">
        <v>0</v>
      </c>
      <c r="AR2" t="s">
        <v>1</v>
      </c>
      <c r="AT2" s="4" t="s">
        <v>2</v>
      </c>
      <c r="AU2" t="s">
        <v>0</v>
      </c>
      <c r="AW2" s="4" t="s">
        <v>2</v>
      </c>
      <c r="AX2" t="s">
        <v>1</v>
      </c>
      <c r="AZ2" s="4" t="s">
        <v>3</v>
      </c>
      <c r="BA2" t="s">
        <v>1</v>
      </c>
      <c r="BC2" s="4" t="s">
        <v>3</v>
      </c>
      <c r="BD2" t="s">
        <v>0</v>
      </c>
      <c r="BF2" s="4" t="s">
        <v>4</v>
      </c>
      <c r="BG2" t="s">
        <v>1</v>
      </c>
      <c r="BI2" s="4" t="s">
        <v>5</v>
      </c>
      <c r="BJ2" t="s">
        <v>1</v>
      </c>
      <c r="BL2" s="4" t="s">
        <v>5</v>
      </c>
      <c r="BM2" t="s">
        <v>0</v>
      </c>
    </row>
    <row r="3" spans="43:65">
      <c r="AQ3" s="3">
        <v>70573.920000000013</v>
      </c>
      <c r="AR3" s="3">
        <v>277069.71999999991</v>
      </c>
      <c r="AT3">
        <v>2023</v>
      </c>
      <c r="AU3" s="3">
        <v>44366.640000000007</v>
      </c>
      <c r="AW3">
        <v>2023</v>
      </c>
      <c r="AX3" s="3">
        <v>193524.41999999995</v>
      </c>
      <c r="AZ3" t="s">
        <v>6</v>
      </c>
      <c r="BA3" s="3">
        <v>27478.1</v>
      </c>
      <c r="BC3" t="s">
        <v>6</v>
      </c>
      <c r="BD3" s="3">
        <v>3615.87</v>
      </c>
      <c r="BF3" t="s">
        <v>7</v>
      </c>
      <c r="BG3" s="3">
        <v>28964.61</v>
      </c>
      <c r="BI3" t="s">
        <v>8</v>
      </c>
      <c r="BJ3" s="3">
        <v>109835.94</v>
      </c>
      <c r="BL3" t="s">
        <v>8</v>
      </c>
      <c r="BM3" s="3">
        <v>30729.579999999994</v>
      </c>
    </row>
    <row r="4" spans="43:65">
      <c r="AT4">
        <v>2024</v>
      </c>
      <c r="AU4" s="3">
        <v>26207.279999999999</v>
      </c>
      <c r="AW4">
        <v>2024</v>
      </c>
      <c r="AX4" s="3">
        <v>83545.299999999988</v>
      </c>
      <c r="AZ4" t="s">
        <v>9</v>
      </c>
      <c r="BA4" s="3">
        <v>10812.64</v>
      </c>
      <c r="BC4" t="s">
        <v>9</v>
      </c>
      <c r="BD4" s="3">
        <v>3330.67</v>
      </c>
      <c r="BF4" t="s">
        <v>10</v>
      </c>
      <c r="BG4" s="3">
        <v>20965.769999999997</v>
      </c>
      <c r="BI4" t="s">
        <v>11</v>
      </c>
      <c r="BJ4" s="3">
        <v>86057.54</v>
      </c>
      <c r="BL4" t="s">
        <v>11</v>
      </c>
      <c r="BM4" s="3">
        <v>22323.879999999994</v>
      </c>
    </row>
    <row r="5" spans="43:65">
      <c r="AT5" t="s">
        <v>12</v>
      </c>
      <c r="AU5" s="3">
        <v>70573.920000000013</v>
      </c>
      <c r="AW5" t="s">
        <v>12</v>
      </c>
      <c r="AX5" s="3">
        <v>277069.71999999997</v>
      </c>
      <c r="AZ5" t="s">
        <v>13</v>
      </c>
      <c r="BA5" s="3">
        <v>24435.870000000003</v>
      </c>
      <c r="BC5" t="s">
        <v>13</v>
      </c>
      <c r="BD5" s="3">
        <v>5601.3300000000008</v>
      </c>
      <c r="BF5" t="s">
        <v>14</v>
      </c>
      <c r="BG5" s="3">
        <v>37965.73000000001</v>
      </c>
      <c r="BI5" t="s">
        <v>15</v>
      </c>
      <c r="BJ5" s="3">
        <v>81176.24000000002</v>
      </c>
      <c r="BL5" t="s">
        <v>15</v>
      </c>
      <c r="BM5" s="3">
        <v>17520.46</v>
      </c>
    </row>
    <row r="6" spans="43:65">
      <c r="AZ6" t="s">
        <v>16</v>
      </c>
      <c r="BA6" s="3">
        <v>19452.57</v>
      </c>
      <c r="BC6" t="s">
        <v>16</v>
      </c>
      <c r="BD6" s="3">
        <v>4740.2</v>
      </c>
      <c r="BF6" t="s">
        <v>17</v>
      </c>
      <c r="BG6" s="3">
        <v>44231.69</v>
      </c>
      <c r="BI6" t="s">
        <v>12</v>
      </c>
      <c r="BJ6" s="3">
        <v>277069.71999999997</v>
      </c>
      <c r="BL6" t="s">
        <v>12</v>
      </c>
      <c r="BM6" s="3">
        <v>70573.919999999984</v>
      </c>
    </row>
    <row r="7" spans="43:65">
      <c r="AZ7" t="s">
        <v>18</v>
      </c>
      <c r="BA7" s="3">
        <v>12192.21</v>
      </c>
      <c r="BC7" t="s">
        <v>18</v>
      </c>
      <c r="BD7" s="3">
        <v>2599.7200000000003</v>
      </c>
      <c r="BF7" t="s">
        <v>19</v>
      </c>
      <c r="BG7" s="3">
        <v>32309.47</v>
      </c>
    </row>
    <row r="8" spans="43:65">
      <c r="AZ8" t="s">
        <v>20</v>
      </c>
      <c r="BA8" s="3">
        <v>28825.280000000002</v>
      </c>
      <c r="BC8" t="s">
        <v>20</v>
      </c>
      <c r="BD8" s="3">
        <v>6412.630000000001</v>
      </c>
      <c r="BF8" t="s">
        <v>21</v>
      </c>
      <c r="BG8" s="3">
        <v>30681.270000000004</v>
      </c>
    </row>
    <row r="9" spans="43:65">
      <c r="AZ9" t="s">
        <v>22</v>
      </c>
      <c r="BA9" s="3">
        <v>25873.490000000005</v>
      </c>
      <c r="BC9" t="s">
        <v>22</v>
      </c>
      <c r="BD9" s="3">
        <v>6597.58</v>
      </c>
      <c r="BF9" t="s">
        <v>23</v>
      </c>
      <c r="BG9" s="3">
        <v>39205.18</v>
      </c>
    </row>
    <row r="10" spans="43:65">
      <c r="AZ10" t="s">
        <v>24</v>
      </c>
      <c r="BA10" s="3">
        <v>29207.239999999998</v>
      </c>
      <c r="BC10" t="s">
        <v>24</v>
      </c>
      <c r="BD10" s="3">
        <v>11447.59</v>
      </c>
      <c r="BF10" t="s">
        <v>25</v>
      </c>
      <c r="BG10" s="3">
        <v>42746.000000000015</v>
      </c>
    </row>
    <row r="11" spans="43:65">
      <c r="AZ11" t="s">
        <v>26</v>
      </c>
      <c r="BA11" s="3">
        <v>43786.5</v>
      </c>
      <c r="BC11" t="s">
        <v>26</v>
      </c>
      <c r="BD11" s="3">
        <v>11375.41</v>
      </c>
      <c r="BF11" t="s">
        <v>12</v>
      </c>
      <c r="BG11" s="3">
        <v>277069.72000000003</v>
      </c>
    </row>
    <row r="12" spans="43:65">
      <c r="AZ12" t="s">
        <v>27</v>
      </c>
      <c r="BA12" s="3">
        <v>23393.97</v>
      </c>
      <c r="BC12" t="s">
        <v>27</v>
      </c>
      <c r="BD12" s="3">
        <v>5848.1299999999992</v>
      </c>
    </row>
    <row r="13" spans="43:65">
      <c r="AZ13" t="s">
        <v>28</v>
      </c>
      <c r="BA13" s="3">
        <v>12549.93</v>
      </c>
      <c r="BC13" t="s">
        <v>28</v>
      </c>
      <c r="BD13" s="3">
        <v>4541.4400000000005</v>
      </c>
    </row>
    <row r="14" spans="43:65">
      <c r="AZ14" t="s">
        <v>29</v>
      </c>
      <c r="BA14" s="3">
        <v>19061.920000000002</v>
      </c>
      <c r="BC14" t="s">
        <v>29</v>
      </c>
      <c r="BD14" s="3">
        <v>4463.3499999999995</v>
      </c>
    </row>
    <row r="15" spans="43:65">
      <c r="AZ15" t="s">
        <v>12</v>
      </c>
      <c r="BA15" s="3">
        <v>277069.71999999997</v>
      </c>
      <c r="BC15" t="s">
        <v>12</v>
      </c>
      <c r="BD15" s="3">
        <v>70573.919999999998</v>
      </c>
    </row>
    <row r="48" spans="6:6">
      <c r="F48" s="3"/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/>
  </sheetViews>
  <sheetFormatPr defaultRowHeight="15"/>
  <cols>
    <col min="1" max="1" width="18.7109375" customWidth="1"/>
    <col min="2" max="2" width="21.7109375" customWidth="1"/>
    <col min="3" max="3" width="12.7109375" customWidth="1"/>
    <col min="4" max="4" width="20" customWidth="1"/>
    <col min="5" max="5" width="12.85546875" customWidth="1"/>
    <col min="6" max="6" width="13.7109375" customWidth="1"/>
    <col min="7" max="7" width="12.85546875" customWidth="1"/>
    <col min="9" max="9" width="10.5703125" customWidth="1"/>
  </cols>
  <sheetData>
    <row r="1" spans="1:10">
      <c r="A1" s="1" t="s">
        <v>30</v>
      </c>
      <c r="B1" s="1" t="s">
        <v>31</v>
      </c>
      <c r="C1" s="1" t="s">
        <v>4</v>
      </c>
      <c r="D1" s="1" t="s">
        <v>5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</v>
      </c>
      <c r="J1" s="1" t="s">
        <v>2</v>
      </c>
    </row>
    <row r="2" spans="1:10">
      <c r="A2" s="2">
        <v>45089</v>
      </c>
      <c r="B2" t="s">
        <v>36</v>
      </c>
      <c r="C2" t="s">
        <v>17</v>
      </c>
      <c r="D2" t="s">
        <v>15</v>
      </c>
      <c r="E2" t="s">
        <v>37</v>
      </c>
      <c r="F2">
        <v>4578.3100000000004</v>
      </c>
      <c r="G2">
        <v>8</v>
      </c>
      <c r="H2">
        <v>423.57</v>
      </c>
      <c r="I2" t="s">
        <v>20</v>
      </c>
      <c r="J2">
        <v>2023</v>
      </c>
    </row>
    <row r="3" spans="1:10">
      <c r="A3" s="2">
        <v>45265</v>
      </c>
      <c r="B3" t="s">
        <v>38</v>
      </c>
      <c r="C3" t="s">
        <v>17</v>
      </c>
      <c r="D3" t="s">
        <v>8</v>
      </c>
      <c r="E3" t="s">
        <v>39</v>
      </c>
      <c r="F3">
        <v>1913.17</v>
      </c>
      <c r="G3">
        <v>1</v>
      </c>
      <c r="H3">
        <v>447.47</v>
      </c>
      <c r="I3" t="s">
        <v>29</v>
      </c>
      <c r="J3">
        <v>2023</v>
      </c>
    </row>
    <row r="4" spans="1:10">
      <c r="A4" s="2">
        <v>45286</v>
      </c>
      <c r="B4" t="s">
        <v>40</v>
      </c>
      <c r="C4" t="s">
        <v>7</v>
      </c>
      <c r="D4" t="s">
        <v>15</v>
      </c>
      <c r="E4" t="s">
        <v>41</v>
      </c>
      <c r="F4">
        <v>1646.83</v>
      </c>
      <c r="G4">
        <v>4</v>
      </c>
      <c r="H4">
        <v>35.81</v>
      </c>
      <c r="I4" t="s">
        <v>29</v>
      </c>
      <c r="J4">
        <v>2023</v>
      </c>
    </row>
    <row r="5" spans="1:10">
      <c r="A5" s="2">
        <v>45166</v>
      </c>
      <c r="B5" t="s">
        <v>42</v>
      </c>
      <c r="C5" t="s">
        <v>25</v>
      </c>
      <c r="D5" t="s">
        <v>8</v>
      </c>
      <c r="E5" t="s">
        <v>43</v>
      </c>
      <c r="F5">
        <v>3675.05</v>
      </c>
      <c r="G5">
        <v>9</v>
      </c>
      <c r="H5">
        <v>802.5</v>
      </c>
      <c r="I5" t="s">
        <v>24</v>
      </c>
      <c r="J5">
        <v>2023</v>
      </c>
    </row>
    <row r="6" spans="1:10">
      <c r="A6" s="2">
        <v>45266</v>
      </c>
      <c r="B6" t="s">
        <v>44</v>
      </c>
      <c r="C6" t="s">
        <v>23</v>
      </c>
      <c r="D6" t="s">
        <v>8</v>
      </c>
      <c r="E6" t="s">
        <v>45</v>
      </c>
      <c r="F6">
        <v>2633.1</v>
      </c>
      <c r="G6">
        <v>4</v>
      </c>
      <c r="H6">
        <v>873.78</v>
      </c>
      <c r="I6" t="s">
        <v>29</v>
      </c>
      <c r="J6">
        <v>2023</v>
      </c>
    </row>
    <row r="7" spans="1:10">
      <c r="A7" s="2">
        <v>45120</v>
      </c>
      <c r="B7" t="s">
        <v>42</v>
      </c>
      <c r="C7" t="s">
        <v>17</v>
      </c>
      <c r="D7" t="s">
        <v>8</v>
      </c>
      <c r="E7" t="s">
        <v>43</v>
      </c>
      <c r="F7">
        <v>2432.39</v>
      </c>
      <c r="G7">
        <v>8</v>
      </c>
      <c r="H7">
        <v>633.27</v>
      </c>
      <c r="I7" t="s">
        <v>22</v>
      </c>
      <c r="J7">
        <v>2023</v>
      </c>
    </row>
    <row r="8" spans="1:10">
      <c r="A8" s="2">
        <v>45215</v>
      </c>
      <c r="B8" t="s">
        <v>46</v>
      </c>
      <c r="C8" t="s">
        <v>23</v>
      </c>
      <c r="D8" t="s">
        <v>8</v>
      </c>
      <c r="E8" t="s">
        <v>45</v>
      </c>
      <c r="F8">
        <v>1083.77</v>
      </c>
      <c r="G8">
        <v>9</v>
      </c>
      <c r="H8">
        <v>583.9</v>
      </c>
      <c r="I8" t="s">
        <v>27</v>
      </c>
      <c r="J8">
        <v>2023</v>
      </c>
    </row>
    <row r="9" spans="1:10">
      <c r="A9" s="2">
        <v>45088</v>
      </c>
      <c r="B9" t="s">
        <v>47</v>
      </c>
      <c r="C9" t="s">
        <v>21</v>
      </c>
      <c r="D9" t="s">
        <v>11</v>
      </c>
      <c r="E9" t="s">
        <v>48</v>
      </c>
      <c r="F9">
        <v>3922.79</v>
      </c>
      <c r="G9">
        <v>6</v>
      </c>
      <c r="H9">
        <v>824.92</v>
      </c>
      <c r="I9" t="s">
        <v>20</v>
      </c>
      <c r="J9">
        <v>2023</v>
      </c>
    </row>
    <row r="10" spans="1:10">
      <c r="A10" s="2">
        <v>45265</v>
      </c>
      <c r="B10" t="s">
        <v>46</v>
      </c>
      <c r="C10" t="s">
        <v>7</v>
      </c>
      <c r="D10" t="s">
        <v>8</v>
      </c>
      <c r="E10" t="s">
        <v>39</v>
      </c>
      <c r="F10">
        <v>3099.62</v>
      </c>
      <c r="G10">
        <v>2</v>
      </c>
      <c r="H10">
        <v>893.31</v>
      </c>
      <c r="I10" t="s">
        <v>29</v>
      </c>
      <c r="J10">
        <v>2023</v>
      </c>
    </row>
    <row r="11" spans="1:10">
      <c r="A11" s="2">
        <v>45189</v>
      </c>
      <c r="B11" t="s">
        <v>40</v>
      </c>
      <c r="C11" t="s">
        <v>10</v>
      </c>
      <c r="D11" t="s">
        <v>15</v>
      </c>
      <c r="E11" t="s">
        <v>37</v>
      </c>
      <c r="F11">
        <v>4702.55</v>
      </c>
      <c r="G11">
        <v>4</v>
      </c>
      <c r="H11">
        <v>34.33</v>
      </c>
      <c r="I11" t="s">
        <v>26</v>
      </c>
      <c r="J11">
        <v>2023</v>
      </c>
    </row>
    <row r="12" spans="1:10">
      <c r="A12" s="2">
        <v>45100</v>
      </c>
      <c r="B12" t="s">
        <v>38</v>
      </c>
      <c r="C12" t="s">
        <v>14</v>
      </c>
      <c r="D12" t="s">
        <v>8</v>
      </c>
      <c r="E12" t="s">
        <v>45</v>
      </c>
      <c r="F12">
        <v>4009.68</v>
      </c>
      <c r="G12">
        <v>7</v>
      </c>
      <c r="H12">
        <v>1062.8900000000001</v>
      </c>
      <c r="I12" t="s">
        <v>20</v>
      </c>
      <c r="J12">
        <v>2023</v>
      </c>
    </row>
    <row r="13" spans="1:10">
      <c r="A13" s="2">
        <v>44954</v>
      </c>
      <c r="B13" t="s">
        <v>42</v>
      </c>
      <c r="C13" t="s">
        <v>17</v>
      </c>
      <c r="D13" t="s">
        <v>15</v>
      </c>
      <c r="E13" t="s">
        <v>49</v>
      </c>
      <c r="F13">
        <v>4623.43</v>
      </c>
      <c r="G13">
        <v>3</v>
      </c>
      <c r="H13">
        <v>215.69</v>
      </c>
      <c r="I13" t="s">
        <v>6</v>
      </c>
      <c r="J13">
        <v>2023</v>
      </c>
    </row>
    <row r="14" spans="1:10">
      <c r="A14" s="2">
        <v>45237</v>
      </c>
      <c r="B14" t="s">
        <v>42</v>
      </c>
      <c r="C14" t="s">
        <v>17</v>
      </c>
      <c r="D14" t="s">
        <v>8</v>
      </c>
      <c r="E14" t="s">
        <v>43</v>
      </c>
      <c r="F14">
        <v>2736.81</v>
      </c>
      <c r="G14">
        <v>10</v>
      </c>
      <c r="H14">
        <v>1041.04</v>
      </c>
      <c r="I14" t="s">
        <v>28</v>
      </c>
      <c r="J14">
        <v>2023</v>
      </c>
    </row>
    <row r="15" spans="1:10">
      <c r="A15" s="2">
        <v>45321</v>
      </c>
      <c r="B15" t="s">
        <v>50</v>
      </c>
      <c r="C15" t="s">
        <v>25</v>
      </c>
      <c r="D15" t="s">
        <v>15</v>
      </c>
      <c r="E15" t="s">
        <v>49</v>
      </c>
      <c r="F15">
        <v>2070.0100000000002</v>
      </c>
      <c r="G15">
        <v>8</v>
      </c>
      <c r="H15">
        <v>730.21</v>
      </c>
      <c r="I15" t="s">
        <v>6</v>
      </c>
      <c r="J15">
        <v>2024</v>
      </c>
    </row>
    <row r="16" spans="1:10">
      <c r="A16" s="2">
        <v>45413</v>
      </c>
      <c r="B16" t="s">
        <v>51</v>
      </c>
      <c r="C16" t="s">
        <v>23</v>
      </c>
      <c r="D16" t="s">
        <v>8</v>
      </c>
      <c r="E16" t="s">
        <v>39</v>
      </c>
      <c r="F16">
        <v>3104.96</v>
      </c>
      <c r="G16">
        <v>10</v>
      </c>
      <c r="H16">
        <v>1295.4000000000001</v>
      </c>
      <c r="I16" t="s">
        <v>18</v>
      </c>
      <c r="J16">
        <v>2024</v>
      </c>
    </row>
    <row r="17" spans="1:10">
      <c r="A17" s="2">
        <v>45194</v>
      </c>
      <c r="B17" t="s">
        <v>51</v>
      </c>
      <c r="C17" t="s">
        <v>25</v>
      </c>
      <c r="D17" t="s">
        <v>11</v>
      </c>
      <c r="E17" t="s">
        <v>52</v>
      </c>
      <c r="F17">
        <v>3381.96</v>
      </c>
      <c r="G17">
        <v>7</v>
      </c>
      <c r="H17">
        <v>418.41</v>
      </c>
      <c r="I17" t="s">
        <v>26</v>
      </c>
      <c r="J17">
        <v>2023</v>
      </c>
    </row>
    <row r="18" spans="1:10">
      <c r="A18" s="2">
        <v>45087</v>
      </c>
      <c r="B18" t="s">
        <v>44</v>
      </c>
      <c r="C18" t="s">
        <v>25</v>
      </c>
      <c r="D18" t="s">
        <v>15</v>
      </c>
      <c r="E18" t="s">
        <v>37</v>
      </c>
      <c r="F18">
        <v>3569.03</v>
      </c>
      <c r="G18">
        <v>4</v>
      </c>
      <c r="H18">
        <v>1145.23</v>
      </c>
      <c r="I18" t="s">
        <v>20</v>
      </c>
      <c r="J18">
        <v>2023</v>
      </c>
    </row>
    <row r="19" spans="1:10">
      <c r="A19" s="2">
        <v>45363</v>
      </c>
      <c r="B19" t="s">
        <v>53</v>
      </c>
      <c r="C19" t="s">
        <v>19</v>
      </c>
      <c r="D19" t="s">
        <v>8</v>
      </c>
      <c r="E19" t="s">
        <v>39</v>
      </c>
      <c r="F19">
        <v>4184.3599999999997</v>
      </c>
      <c r="G19">
        <v>7</v>
      </c>
      <c r="H19">
        <v>660.82</v>
      </c>
      <c r="I19" t="s">
        <v>13</v>
      </c>
      <c r="J19">
        <v>2024</v>
      </c>
    </row>
    <row r="20" spans="1:10">
      <c r="A20" s="2">
        <v>45199</v>
      </c>
      <c r="B20" t="s">
        <v>38</v>
      </c>
      <c r="C20" t="s">
        <v>17</v>
      </c>
      <c r="D20" t="s">
        <v>8</v>
      </c>
      <c r="E20" t="s">
        <v>45</v>
      </c>
      <c r="F20">
        <v>4503.88</v>
      </c>
      <c r="G20">
        <v>10</v>
      </c>
      <c r="H20">
        <v>1432.88</v>
      </c>
      <c r="I20" t="s">
        <v>26</v>
      </c>
      <c r="J20">
        <v>2023</v>
      </c>
    </row>
    <row r="21" spans="1:10">
      <c r="A21" s="2">
        <v>45027</v>
      </c>
      <c r="B21" t="s">
        <v>42</v>
      </c>
      <c r="C21" t="s">
        <v>14</v>
      </c>
      <c r="D21" t="s">
        <v>8</v>
      </c>
      <c r="E21" t="s">
        <v>43</v>
      </c>
      <c r="F21">
        <v>3901.59</v>
      </c>
      <c r="G21">
        <v>10</v>
      </c>
      <c r="H21">
        <v>506.45</v>
      </c>
      <c r="I21" t="s">
        <v>16</v>
      </c>
      <c r="J21">
        <v>2023</v>
      </c>
    </row>
    <row r="22" spans="1:10">
      <c r="A22" s="2">
        <v>45328</v>
      </c>
      <c r="B22" t="s">
        <v>38</v>
      </c>
      <c r="C22" t="s">
        <v>19</v>
      </c>
      <c r="D22" t="s">
        <v>8</v>
      </c>
      <c r="E22" t="s">
        <v>43</v>
      </c>
      <c r="F22">
        <v>2424.89</v>
      </c>
      <c r="G22">
        <v>6</v>
      </c>
      <c r="H22">
        <v>1401.88</v>
      </c>
      <c r="I22" t="s">
        <v>9</v>
      </c>
      <c r="J22">
        <v>2024</v>
      </c>
    </row>
    <row r="23" spans="1:10">
      <c r="A23" s="2">
        <v>45141</v>
      </c>
      <c r="B23" t="s">
        <v>42</v>
      </c>
      <c r="C23" t="s">
        <v>10</v>
      </c>
      <c r="D23" t="s">
        <v>11</v>
      </c>
      <c r="E23" t="s">
        <v>54</v>
      </c>
      <c r="F23">
        <v>3856.61</v>
      </c>
      <c r="G23">
        <v>3</v>
      </c>
      <c r="H23">
        <v>994.26</v>
      </c>
      <c r="I23" t="s">
        <v>24</v>
      </c>
      <c r="J23">
        <v>2023</v>
      </c>
    </row>
    <row r="24" spans="1:10">
      <c r="A24" s="2">
        <v>45554</v>
      </c>
      <c r="B24" t="s">
        <v>40</v>
      </c>
      <c r="C24" t="s">
        <v>21</v>
      </c>
      <c r="D24" t="s">
        <v>15</v>
      </c>
      <c r="E24" t="s">
        <v>55</v>
      </c>
      <c r="F24">
        <v>576.97</v>
      </c>
      <c r="G24">
        <v>2</v>
      </c>
      <c r="H24">
        <v>1040.08</v>
      </c>
      <c r="I24" t="s">
        <v>26</v>
      </c>
      <c r="J24">
        <v>2024</v>
      </c>
    </row>
    <row r="25" spans="1:10">
      <c r="A25" s="2">
        <v>45117</v>
      </c>
      <c r="B25" t="s">
        <v>42</v>
      </c>
      <c r="C25" t="s">
        <v>19</v>
      </c>
      <c r="D25" t="s">
        <v>15</v>
      </c>
      <c r="E25" t="s">
        <v>49</v>
      </c>
      <c r="F25">
        <v>3059.07</v>
      </c>
      <c r="G25">
        <v>10</v>
      </c>
      <c r="H25">
        <v>1414.85</v>
      </c>
      <c r="I25" t="s">
        <v>22</v>
      </c>
      <c r="J25">
        <v>2023</v>
      </c>
    </row>
    <row r="26" spans="1:10">
      <c r="A26" s="2">
        <v>45282</v>
      </c>
      <c r="B26" t="s">
        <v>47</v>
      </c>
      <c r="C26" t="s">
        <v>25</v>
      </c>
      <c r="D26" t="s">
        <v>11</v>
      </c>
      <c r="E26" t="s">
        <v>54</v>
      </c>
      <c r="F26">
        <v>4314.88</v>
      </c>
      <c r="G26">
        <v>5</v>
      </c>
      <c r="H26">
        <v>655.37</v>
      </c>
      <c r="I26" t="s">
        <v>29</v>
      </c>
      <c r="J26">
        <v>2023</v>
      </c>
    </row>
    <row r="27" spans="1:10">
      <c r="A27" s="2">
        <v>45296</v>
      </c>
      <c r="B27" t="s">
        <v>40</v>
      </c>
      <c r="C27" t="s">
        <v>19</v>
      </c>
      <c r="D27" t="s">
        <v>11</v>
      </c>
      <c r="E27" t="s">
        <v>56</v>
      </c>
      <c r="F27">
        <v>4473.0600000000004</v>
      </c>
      <c r="G27">
        <v>4</v>
      </c>
      <c r="H27">
        <v>126.39</v>
      </c>
      <c r="I27" t="s">
        <v>6</v>
      </c>
      <c r="J27">
        <v>2024</v>
      </c>
    </row>
    <row r="28" spans="1:10">
      <c r="A28" s="2">
        <v>45190</v>
      </c>
      <c r="B28" t="s">
        <v>47</v>
      </c>
      <c r="C28" t="s">
        <v>10</v>
      </c>
      <c r="D28" t="s">
        <v>11</v>
      </c>
      <c r="E28" t="s">
        <v>52</v>
      </c>
      <c r="F28">
        <v>1565.27</v>
      </c>
      <c r="G28">
        <v>6</v>
      </c>
      <c r="H28">
        <v>1205</v>
      </c>
      <c r="I28" t="s">
        <v>26</v>
      </c>
      <c r="J28">
        <v>2023</v>
      </c>
    </row>
    <row r="29" spans="1:10">
      <c r="A29" s="2">
        <v>45378</v>
      </c>
      <c r="B29" t="s">
        <v>46</v>
      </c>
      <c r="C29" t="s">
        <v>19</v>
      </c>
      <c r="D29" t="s">
        <v>15</v>
      </c>
      <c r="E29" t="s">
        <v>41</v>
      </c>
      <c r="F29">
        <v>3286.34</v>
      </c>
      <c r="G29">
        <v>3</v>
      </c>
      <c r="H29">
        <v>702.8</v>
      </c>
      <c r="I29" t="s">
        <v>13</v>
      </c>
      <c r="J29">
        <v>2024</v>
      </c>
    </row>
    <row r="30" spans="1:10">
      <c r="A30" s="2">
        <v>45108</v>
      </c>
      <c r="B30" t="s">
        <v>40</v>
      </c>
      <c r="C30" t="s">
        <v>25</v>
      </c>
      <c r="D30" t="s">
        <v>11</v>
      </c>
      <c r="E30" t="s">
        <v>52</v>
      </c>
      <c r="F30">
        <v>3421.29</v>
      </c>
      <c r="G30">
        <v>7</v>
      </c>
      <c r="H30">
        <v>963.18</v>
      </c>
      <c r="I30" t="s">
        <v>22</v>
      </c>
      <c r="J30">
        <v>2023</v>
      </c>
    </row>
    <row r="31" spans="1:10">
      <c r="A31" s="2">
        <v>45118</v>
      </c>
      <c r="B31" t="s">
        <v>42</v>
      </c>
      <c r="C31" t="s">
        <v>21</v>
      </c>
      <c r="D31" t="s">
        <v>15</v>
      </c>
      <c r="E31" t="s">
        <v>41</v>
      </c>
      <c r="F31">
        <v>3965.25</v>
      </c>
      <c r="G31">
        <v>7</v>
      </c>
      <c r="H31">
        <v>-162.41999999999999</v>
      </c>
      <c r="I31" t="s">
        <v>22</v>
      </c>
      <c r="J31">
        <v>2023</v>
      </c>
    </row>
    <row r="32" spans="1:10">
      <c r="A32" s="2">
        <v>45568</v>
      </c>
      <c r="B32" t="s">
        <v>51</v>
      </c>
      <c r="C32" t="s">
        <v>17</v>
      </c>
      <c r="D32" t="s">
        <v>15</v>
      </c>
      <c r="E32" t="s">
        <v>41</v>
      </c>
      <c r="F32">
        <v>1076.3699999999999</v>
      </c>
      <c r="G32">
        <v>10</v>
      </c>
      <c r="H32">
        <v>138.32</v>
      </c>
      <c r="I32" t="s">
        <v>27</v>
      </c>
      <c r="J32">
        <v>2024</v>
      </c>
    </row>
    <row r="33" spans="1:10">
      <c r="A33" s="2">
        <v>45218</v>
      </c>
      <c r="B33" t="s">
        <v>38</v>
      </c>
      <c r="C33" t="s">
        <v>21</v>
      </c>
      <c r="D33" t="s">
        <v>8</v>
      </c>
      <c r="E33" t="s">
        <v>39</v>
      </c>
      <c r="F33">
        <v>4079.64</v>
      </c>
      <c r="G33">
        <v>6</v>
      </c>
      <c r="H33">
        <v>907.08</v>
      </c>
      <c r="I33" t="s">
        <v>27</v>
      </c>
      <c r="J33">
        <v>2023</v>
      </c>
    </row>
    <row r="34" spans="1:10">
      <c r="A34" s="2">
        <v>44986</v>
      </c>
      <c r="B34" t="s">
        <v>44</v>
      </c>
      <c r="C34" t="s">
        <v>21</v>
      </c>
      <c r="D34" t="s">
        <v>8</v>
      </c>
      <c r="E34" t="s">
        <v>39</v>
      </c>
      <c r="F34">
        <v>3248.71</v>
      </c>
      <c r="G34">
        <v>8</v>
      </c>
      <c r="H34">
        <v>538.61</v>
      </c>
      <c r="I34" t="s">
        <v>13</v>
      </c>
      <c r="J34">
        <v>2023</v>
      </c>
    </row>
    <row r="35" spans="1:10">
      <c r="A35" s="2">
        <v>45012</v>
      </c>
      <c r="B35" t="s">
        <v>50</v>
      </c>
      <c r="C35" t="s">
        <v>7</v>
      </c>
      <c r="D35" t="s">
        <v>11</v>
      </c>
      <c r="E35" t="s">
        <v>54</v>
      </c>
      <c r="F35">
        <v>3413.1</v>
      </c>
      <c r="G35">
        <v>10</v>
      </c>
      <c r="H35">
        <v>1436.95</v>
      </c>
      <c r="I35" t="s">
        <v>13</v>
      </c>
      <c r="J35">
        <v>2023</v>
      </c>
    </row>
    <row r="36" spans="1:10">
      <c r="A36" s="2">
        <v>45172</v>
      </c>
      <c r="B36" t="s">
        <v>53</v>
      </c>
      <c r="C36" t="s">
        <v>17</v>
      </c>
      <c r="D36" t="s">
        <v>15</v>
      </c>
      <c r="E36" t="s">
        <v>41</v>
      </c>
      <c r="F36">
        <v>2148.9699999999998</v>
      </c>
      <c r="G36">
        <v>4</v>
      </c>
      <c r="H36">
        <v>713.01</v>
      </c>
      <c r="I36" t="s">
        <v>26</v>
      </c>
      <c r="J36">
        <v>2023</v>
      </c>
    </row>
    <row r="37" spans="1:10">
      <c r="A37" s="2">
        <v>45385</v>
      </c>
      <c r="B37" t="s">
        <v>36</v>
      </c>
      <c r="C37" t="s">
        <v>10</v>
      </c>
      <c r="D37" t="s">
        <v>11</v>
      </c>
      <c r="E37" t="s">
        <v>56</v>
      </c>
      <c r="F37">
        <v>1341.77</v>
      </c>
      <c r="G37">
        <v>1</v>
      </c>
      <c r="H37">
        <v>975.45</v>
      </c>
      <c r="I37" t="s">
        <v>16</v>
      </c>
      <c r="J37">
        <v>2024</v>
      </c>
    </row>
    <row r="38" spans="1:10">
      <c r="A38" s="2">
        <v>45161</v>
      </c>
      <c r="B38" t="s">
        <v>42</v>
      </c>
      <c r="C38" t="s">
        <v>19</v>
      </c>
      <c r="D38" t="s">
        <v>11</v>
      </c>
      <c r="E38" t="s">
        <v>54</v>
      </c>
      <c r="F38">
        <v>2748.73</v>
      </c>
      <c r="G38">
        <v>6</v>
      </c>
      <c r="H38">
        <v>575.83000000000004</v>
      </c>
      <c r="I38" t="s">
        <v>24</v>
      </c>
      <c r="J38">
        <v>2023</v>
      </c>
    </row>
    <row r="39" spans="1:10">
      <c r="A39" s="2">
        <v>45149</v>
      </c>
      <c r="B39" t="s">
        <v>44</v>
      </c>
      <c r="C39" t="s">
        <v>25</v>
      </c>
      <c r="D39" t="s">
        <v>15</v>
      </c>
      <c r="E39" t="s">
        <v>55</v>
      </c>
      <c r="F39">
        <v>1165.8399999999999</v>
      </c>
      <c r="G39">
        <v>7</v>
      </c>
      <c r="H39">
        <v>1485.96</v>
      </c>
      <c r="I39" t="s">
        <v>24</v>
      </c>
      <c r="J39">
        <v>2023</v>
      </c>
    </row>
    <row r="40" spans="1:10">
      <c r="A40" s="2">
        <v>45226</v>
      </c>
      <c r="B40" t="s">
        <v>36</v>
      </c>
      <c r="C40" t="s">
        <v>23</v>
      </c>
      <c r="D40" t="s">
        <v>8</v>
      </c>
      <c r="E40" t="s">
        <v>57</v>
      </c>
      <c r="F40">
        <v>3245.73</v>
      </c>
      <c r="G40">
        <v>4</v>
      </c>
      <c r="H40">
        <v>403.01</v>
      </c>
      <c r="I40" t="s">
        <v>27</v>
      </c>
      <c r="J40">
        <v>2023</v>
      </c>
    </row>
    <row r="41" spans="1:10">
      <c r="A41" s="2">
        <v>45523</v>
      </c>
      <c r="B41" t="s">
        <v>53</v>
      </c>
      <c r="C41" t="s">
        <v>14</v>
      </c>
      <c r="D41" t="s">
        <v>11</v>
      </c>
      <c r="E41" t="s">
        <v>56</v>
      </c>
      <c r="F41">
        <v>1317.76</v>
      </c>
      <c r="G41">
        <v>10</v>
      </c>
      <c r="H41">
        <v>1237.69</v>
      </c>
      <c r="I41" t="s">
        <v>24</v>
      </c>
      <c r="J41">
        <v>2024</v>
      </c>
    </row>
    <row r="42" spans="1:10">
      <c r="A42" s="2">
        <v>45320</v>
      </c>
      <c r="B42" t="s">
        <v>42</v>
      </c>
      <c r="C42" t="s">
        <v>25</v>
      </c>
      <c r="D42" t="s">
        <v>15</v>
      </c>
      <c r="E42" t="s">
        <v>49</v>
      </c>
      <c r="F42">
        <v>4034.25</v>
      </c>
      <c r="G42">
        <v>7</v>
      </c>
      <c r="H42">
        <v>330.41</v>
      </c>
      <c r="I42" t="s">
        <v>6</v>
      </c>
      <c r="J42">
        <v>2024</v>
      </c>
    </row>
    <row r="43" spans="1:10">
      <c r="A43" s="2">
        <v>45041</v>
      </c>
      <c r="B43" t="s">
        <v>36</v>
      </c>
      <c r="C43" t="s">
        <v>14</v>
      </c>
      <c r="D43" t="s">
        <v>8</v>
      </c>
      <c r="E43" t="s">
        <v>45</v>
      </c>
      <c r="F43">
        <v>4310.8999999999996</v>
      </c>
      <c r="G43">
        <v>5</v>
      </c>
      <c r="H43">
        <v>85.88</v>
      </c>
      <c r="I43" t="s">
        <v>16</v>
      </c>
      <c r="J43">
        <v>2023</v>
      </c>
    </row>
    <row r="44" spans="1:10">
      <c r="A44" s="2">
        <v>45476</v>
      </c>
      <c r="B44" t="s">
        <v>46</v>
      </c>
      <c r="C44" t="s">
        <v>14</v>
      </c>
      <c r="D44" t="s">
        <v>8</v>
      </c>
      <c r="E44" t="s">
        <v>45</v>
      </c>
      <c r="F44">
        <v>1259.3499999999999</v>
      </c>
      <c r="G44">
        <v>10</v>
      </c>
      <c r="H44">
        <v>1041.04</v>
      </c>
      <c r="I44" t="s">
        <v>22</v>
      </c>
      <c r="J44">
        <v>2024</v>
      </c>
    </row>
    <row r="45" spans="1:10">
      <c r="A45" s="2">
        <v>45185</v>
      </c>
      <c r="B45" t="s">
        <v>40</v>
      </c>
      <c r="C45" t="s">
        <v>7</v>
      </c>
      <c r="D45" t="s">
        <v>15</v>
      </c>
      <c r="E45" t="s">
        <v>49</v>
      </c>
      <c r="F45">
        <v>2339.9699999999998</v>
      </c>
      <c r="G45">
        <v>1</v>
      </c>
      <c r="H45">
        <v>1333.39</v>
      </c>
      <c r="I45" t="s">
        <v>26</v>
      </c>
      <c r="J45">
        <v>2023</v>
      </c>
    </row>
    <row r="46" spans="1:10">
      <c r="A46" s="2">
        <v>45530</v>
      </c>
      <c r="B46" t="s">
        <v>46</v>
      </c>
      <c r="C46" t="s">
        <v>14</v>
      </c>
      <c r="D46" t="s">
        <v>11</v>
      </c>
      <c r="E46" t="s">
        <v>54</v>
      </c>
      <c r="F46">
        <v>3619.89</v>
      </c>
      <c r="G46">
        <v>9</v>
      </c>
      <c r="H46">
        <v>1389.81</v>
      </c>
      <c r="I46" t="s">
        <v>24</v>
      </c>
      <c r="J46">
        <v>2024</v>
      </c>
    </row>
    <row r="47" spans="1:10">
      <c r="A47" s="2">
        <v>45450</v>
      </c>
      <c r="B47" t="s">
        <v>46</v>
      </c>
      <c r="C47" t="s">
        <v>14</v>
      </c>
      <c r="D47" t="s">
        <v>8</v>
      </c>
      <c r="E47" t="s">
        <v>57</v>
      </c>
      <c r="F47">
        <v>3568.59</v>
      </c>
      <c r="G47">
        <v>5</v>
      </c>
      <c r="H47">
        <v>1388.17</v>
      </c>
      <c r="I47" t="s">
        <v>20</v>
      </c>
      <c r="J47">
        <v>2024</v>
      </c>
    </row>
    <row r="48" spans="1:10">
      <c r="A48" s="2">
        <v>45172</v>
      </c>
      <c r="B48" t="s">
        <v>51</v>
      </c>
      <c r="C48" t="s">
        <v>25</v>
      </c>
      <c r="D48" t="s">
        <v>15</v>
      </c>
      <c r="E48" t="s">
        <v>41</v>
      </c>
      <c r="F48">
        <v>3552.93</v>
      </c>
      <c r="G48">
        <v>9</v>
      </c>
      <c r="H48">
        <v>185.22</v>
      </c>
      <c r="I48" t="s">
        <v>26</v>
      </c>
      <c r="J48">
        <v>2023</v>
      </c>
    </row>
    <row r="49" spans="1:10">
      <c r="A49" s="2">
        <v>45213</v>
      </c>
      <c r="B49" t="s">
        <v>40</v>
      </c>
      <c r="C49" t="s">
        <v>21</v>
      </c>
      <c r="D49" t="s">
        <v>15</v>
      </c>
      <c r="E49" t="s">
        <v>55</v>
      </c>
      <c r="F49">
        <v>3277.77</v>
      </c>
      <c r="G49">
        <v>4</v>
      </c>
      <c r="H49">
        <v>-101.98</v>
      </c>
      <c r="I49" t="s">
        <v>27</v>
      </c>
      <c r="J49">
        <v>2023</v>
      </c>
    </row>
    <row r="50" spans="1:10">
      <c r="A50" s="2">
        <v>45048</v>
      </c>
      <c r="B50" t="s">
        <v>46</v>
      </c>
      <c r="C50" t="s">
        <v>23</v>
      </c>
      <c r="D50" t="s">
        <v>8</v>
      </c>
      <c r="E50" t="s">
        <v>57</v>
      </c>
      <c r="F50">
        <v>3070.82</v>
      </c>
      <c r="G50">
        <v>2</v>
      </c>
      <c r="H50">
        <v>485.86</v>
      </c>
      <c r="I50" t="s">
        <v>18</v>
      </c>
      <c r="J50">
        <v>2023</v>
      </c>
    </row>
    <row r="51" spans="1:10">
      <c r="A51" s="2">
        <v>45291</v>
      </c>
      <c r="B51" t="s">
        <v>46</v>
      </c>
      <c r="C51" t="s">
        <v>7</v>
      </c>
      <c r="D51" t="s">
        <v>8</v>
      </c>
      <c r="E51" t="s">
        <v>57</v>
      </c>
      <c r="F51">
        <v>574.29</v>
      </c>
      <c r="G51">
        <v>9</v>
      </c>
      <c r="H51">
        <v>683.16</v>
      </c>
      <c r="I51" t="s">
        <v>29</v>
      </c>
      <c r="J51">
        <v>2023</v>
      </c>
    </row>
    <row r="52" spans="1:10">
      <c r="A52" s="2">
        <v>45180</v>
      </c>
      <c r="B52" t="s">
        <v>46</v>
      </c>
      <c r="C52" t="s">
        <v>17</v>
      </c>
      <c r="D52" t="s">
        <v>11</v>
      </c>
      <c r="E52" t="s">
        <v>54</v>
      </c>
      <c r="F52">
        <v>4331.76</v>
      </c>
      <c r="G52">
        <v>4</v>
      </c>
      <c r="H52">
        <v>-99.51</v>
      </c>
      <c r="I52" t="s">
        <v>26</v>
      </c>
      <c r="J52">
        <v>2023</v>
      </c>
    </row>
    <row r="53" spans="1:10">
      <c r="A53" s="2">
        <v>45066</v>
      </c>
      <c r="B53" t="s">
        <v>44</v>
      </c>
      <c r="C53" t="s">
        <v>21</v>
      </c>
      <c r="D53" t="s">
        <v>15</v>
      </c>
      <c r="E53" t="s">
        <v>49</v>
      </c>
      <c r="F53">
        <v>1100.6500000000001</v>
      </c>
      <c r="G53">
        <v>3</v>
      </c>
      <c r="H53">
        <v>50.16</v>
      </c>
      <c r="I53" t="s">
        <v>18</v>
      </c>
      <c r="J53">
        <v>2023</v>
      </c>
    </row>
    <row r="54" spans="1:10">
      <c r="A54" s="2">
        <v>45395</v>
      </c>
      <c r="B54" t="s">
        <v>44</v>
      </c>
      <c r="C54" t="s">
        <v>25</v>
      </c>
      <c r="D54" t="s">
        <v>8</v>
      </c>
      <c r="E54" t="s">
        <v>57</v>
      </c>
      <c r="F54">
        <v>2288.4</v>
      </c>
      <c r="G54">
        <v>2</v>
      </c>
      <c r="H54">
        <v>103.83</v>
      </c>
      <c r="I54" t="s">
        <v>16</v>
      </c>
      <c r="J54">
        <v>2024</v>
      </c>
    </row>
    <row r="55" spans="1:10">
      <c r="A55" s="2">
        <v>45512</v>
      </c>
      <c r="B55" t="s">
        <v>51</v>
      </c>
      <c r="C55" t="s">
        <v>19</v>
      </c>
      <c r="D55" t="s">
        <v>8</v>
      </c>
      <c r="E55" t="s">
        <v>57</v>
      </c>
      <c r="F55">
        <v>4574.07</v>
      </c>
      <c r="G55">
        <v>6</v>
      </c>
      <c r="H55">
        <v>1496.76</v>
      </c>
      <c r="I55" t="s">
        <v>24</v>
      </c>
      <c r="J55">
        <v>2024</v>
      </c>
    </row>
    <row r="56" spans="1:10">
      <c r="A56" s="2">
        <v>45259</v>
      </c>
      <c r="B56" t="s">
        <v>42</v>
      </c>
      <c r="C56" t="s">
        <v>25</v>
      </c>
      <c r="D56" t="s">
        <v>8</v>
      </c>
      <c r="E56" t="s">
        <v>43</v>
      </c>
      <c r="F56">
        <v>4148.78</v>
      </c>
      <c r="G56">
        <v>8</v>
      </c>
      <c r="H56">
        <v>862.94</v>
      </c>
      <c r="I56" t="s">
        <v>28</v>
      </c>
      <c r="J56">
        <v>2023</v>
      </c>
    </row>
    <row r="57" spans="1:10">
      <c r="A57" s="2">
        <v>45133</v>
      </c>
      <c r="B57" t="s">
        <v>42</v>
      </c>
      <c r="C57" t="s">
        <v>25</v>
      </c>
      <c r="D57" t="s">
        <v>11</v>
      </c>
      <c r="E57" t="s">
        <v>54</v>
      </c>
      <c r="F57">
        <v>2141.5500000000002</v>
      </c>
      <c r="G57">
        <v>7</v>
      </c>
      <c r="H57">
        <v>5.87</v>
      </c>
      <c r="I57" t="s">
        <v>22</v>
      </c>
      <c r="J57">
        <v>2023</v>
      </c>
    </row>
    <row r="58" spans="1:10">
      <c r="A58" s="2">
        <v>45350</v>
      </c>
      <c r="B58" t="s">
        <v>36</v>
      </c>
      <c r="C58" t="s">
        <v>23</v>
      </c>
      <c r="D58" t="s">
        <v>11</v>
      </c>
      <c r="E58" t="s">
        <v>52</v>
      </c>
      <c r="F58">
        <v>3865.23</v>
      </c>
      <c r="G58">
        <v>5</v>
      </c>
      <c r="H58">
        <v>495.96</v>
      </c>
      <c r="I58" t="s">
        <v>9</v>
      </c>
      <c r="J58">
        <v>2024</v>
      </c>
    </row>
    <row r="59" spans="1:10">
      <c r="A59" s="2">
        <v>45224</v>
      </c>
      <c r="B59" t="s">
        <v>46</v>
      </c>
      <c r="C59" t="s">
        <v>10</v>
      </c>
      <c r="D59" t="s">
        <v>11</v>
      </c>
      <c r="E59" t="s">
        <v>56</v>
      </c>
      <c r="F59">
        <v>2620.46</v>
      </c>
      <c r="G59">
        <v>3</v>
      </c>
      <c r="H59">
        <v>1164.5899999999999</v>
      </c>
      <c r="I59" t="s">
        <v>27</v>
      </c>
      <c r="J59">
        <v>2023</v>
      </c>
    </row>
    <row r="60" spans="1:10">
      <c r="A60" s="2">
        <v>45547</v>
      </c>
      <c r="B60" t="s">
        <v>53</v>
      </c>
      <c r="C60" t="s">
        <v>10</v>
      </c>
      <c r="D60" t="s">
        <v>11</v>
      </c>
      <c r="E60" t="s">
        <v>56</v>
      </c>
      <c r="F60">
        <v>1817.21</v>
      </c>
      <c r="G60">
        <v>5</v>
      </c>
      <c r="H60">
        <v>1056.32</v>
      </c>
      <c r="I60" t="s">
        <v>26</v>
      </c>
      <c r="J60">
        <v>2024</v>
      </c>
    </row>
    <row r="61" spans="1:10">
      <c r="A61" s="2">
        <v>45085</v>
      </c>
      <c r="B61" t="s">
        <v>40</v>
      </c>
      <c r="C61" t="s">
        <v>21</v>
      </c>
      <c r="D61" t="s">
        <v>11</v>
      </c>
      <c r="E61" t="s">
        <v>48</v>
      </c>
      <c r="F61">
        <v>3131.56</v>
      </c>
      <c r="G61">
        <v>8</v>
      </c>
      <c r="H61">
        <v>389.33</v>
      </c>
      <c r="I61" t="s">
        <v>20</v>
      </c>
      <c r="J61">
        <v>2023</v>
      </c>
    </row>
    <row r="62" spans="1:10">
      <c r="A62" s="2">
        <v>45400</v>
      </c>
      <c r="B62" t="s">
        <v>42</v>
      </c>
      <c r="C62" t="s">
        <v>23</v>
      </c>
      <c r="D62" t="s">
        <v>8</v>
      </c>
      <c r="E62" t="s">
        <v>39</v>
      </c>
      <c r="F62">
        <v>698.77</v>
      </c>
      <c r="G62">
        <v>10</v>
      </c>
      <c r="H62">
        <v>259.04000000000002</v>
      </c>
      <c r="I62" t="s">
        <v>16</v>
      </c>
      <c r="J62">
        <v>2024</v>
      </c>
    </row>
    <row r="63" spans="1:10">
      <c r="A63" s="2">
        <v>45394</v>
      </c>
      <c r="B63" t="s">
        <v>51</v>
      </c>
      <c r="C63" t="s">
        <v>17</v>
      </c>
      <c r="D63" t="s">
        <v>11</v>
      </c>
      <c r="E63" t="s">
        <v>54</v>
      </c>
      <c r="F63">
        <v>3579.09</v>
      </c>
      <c r="G63">
        <v>10</v>
      </c>
      <c r="H63">
        <v>353.27</v>
      </c>
      <c r="I63" t="s">
        <v>16</v>
      </c>
      <c r="J63">
        <v>2024</v>
      </c>
    </row>
    <row r="64" spans="1:10">
      <c r="A64" s="2">
        <v>45137</v>
      </c>
      <c r="B64" t="s">
        <v>44</v>
      </c>
      <c r="C64" t="s">
        <v>21</v>
      </c>
      <c r="D64" t="s">
        <v>8</v>
      </c>
      <c r="E64" t="s">
        <v>39</v>
      </c>
      <c r="F64">
        <v>767.23</v>
      </c>
      <c r="G64">
        <v>1</v>
      </c>
      <c r="H64">
        <v>557.48</v>
      </c>
      <c r="I64" t="s">
        <v>22</v>
      </c>
      <c r="J64">
        <v>2023</v>
      </c>
    </row>
    <row r="65" spans="1:10">
      <c r="A65" s="2">
        <v>45170</v>
      </c>
      <c r="B65" t="s">
        <v>44</v>
      </c>
      <c r="C65" t="s">
        <v>19</v>
      </c>
      <c r="D65" t="s">
        <v>8</v>
      </c>
      <c r="E65" t="s">
        <v>45</v>
      </c>
      <c r="F65">
        <v>886.14</v>
      </c>
      <c r="G65">
        <v>6</v>
      </c>
      <c r="H65">
        <v>577.5</v>
      </c>
      <c r="I65" t="s">
        <v>26</v>
      </c>
      <c r="J65">
        <v>2023</v>
      </c>
    </row>
    <row r="66" spans="1:10">
      <c r="A66" s="2">
        <v>45192</v>
      </c>
      <c r="B66" t="s">
        <v>44</v>
      </c>
      <c r="C66" t="s">
        <v>25</v>
      </c>
      <c r="D66" t="s">
        <v>15</v>
      </c>
      <c r="E66" t="s">
        <v>37</v>
      </c>
      <c r="F66">
        <v>549.58000000000004</v>
      </c>
      <c r="G66">
        <v>2</v>
      </c>
      <c r="H66">
        <v>-88.12</v>
      </c>
      <c r="I66" t="s">
        <v>26</v>
      </c>
      <c r="J66">
        <v>2023</v>
      </c>
    </row>
    <row r="67" spans="1:10">
      <c r="A67" s="2">
        <v>45205</v>
      </c>
      <c r="B67" t="s">
        <v>44</v>
      </c>
      <c r="C67" t="s">
        <v>23</v>
      </c>
      <c r="D67" t="s">
        <v>15</v>
      </c>
      <c r="E67" t="s">
        <v>55</v>
      </c>
      <c r="F67">
        <v>644.04999999999995</v>
      </c>
      <c r="G67">
        <v>7</v>
      </c>
      <c r="H67">
        <v>700.99</v>
      </c>
      <c r="I67" t="s">
        <v>27</v>
      </c>
      <c r="J67">
        <v>2023</v>
      </c>
    </row>
    <row r="68" spans="1:10">
      <c r="A68" s="2">
        <v>45005</v>
      </c>
      <c r="B68" t="s">
        <v>51</v>
      </c>
      <c r="C68" t="s">
        <v>23</v>
      </c>
      <c r="D68" t="s">
        <v>11</v>
      </c>
      <c r="E68" t="s">
        <v>56</v>
      </c>
      <c r="F68">
        <v>4665.62</v>
      </c>
      <c r="G68">
        <v>2</v>
      </c>
      <c r="H68">
        <v>1073.4100000000001</v>
      </c>
      <c r="I68" t="s">
        <v>13</v>
      </c>
      <c r="J68">
        <v>2023</v>
      </c>
    </row>
    <row r="69" spans="1:10">
      <c r="A69" s="2">
        <v>45266</v>
      </c>
      <c r="B69" t="s">
        <v>51</v>
      </c>
      <c r="C69" t="s">
        <v>17</v>
      </c>
      <c r="D69" t="s">
        <v>11</v>
      </c>
      <c r="E69" t="s">
        <v>52</v>
      </c>
      <c r="F69">
        <v>4308.33</v>
      </c>
      <c r="G69">
        <v>9</v>
      </c>
      <c r="H69">
        <v>155.41</v>
      </c>
      <c r="I69" t="s">
        <v>29</v>
      </c>
      <c r="J69">
        <v>2023</v>
      </c>
    </row>
    <row r="70" spans="1:10">
      <c r="A70" s="2">
        <v>45264</v>
      </c>
      <c r="B70" t="s">
        <v>38</v>
      </c>
      <c r="C70" t="s">
        <v>17</v>
      </c>
      <c r="D70" t="s">
        <v>8</v>
      </c>
      <c r="E70" t="s">
        <v>45</v>
      </c>
      <c r="F70">
        <v>571.70000000000005</v>
      </c>
      <c r="G70">
        <v>7</v>
      </c>
      <c r="H70">
        <v>719.04</v>
      </c>
      <c r="I70" t="s">
        <v>29</v>
      </c>
      <c r="J70">
        <v>2023</v>
      </c>
    </row>
    <row r="71" spans="1:10">
      <c r="A71" s="2">
        <v>45306</v>
      </c>
      <c r="B71" t="s">
        <v>42</v>
      </c>
      <c r="C71" t="s">
        <v>19</v>
      </c>
      <c r="D71" t="s">
        <v>11</v>
      </c>
      <c r="E71" t="s">
        <v>56</v>
      </c>
      <c r="F71">
        <v>775.13</v>
      </c>
      <c r="G71">
        <v>6</v>
      </c>
      <c r="H71">
        <v>1073.79</v>
      </c>
      <c r="I71" t="s">
        <v>6</v>
      </c>
      <c r="J71">
        <v>2024</v>
      </c>
    </row>
    <row r="72" spans="1:10">
      <c r="A72" s="2">
        <v>45180</v>
      </c>
      <c r="B72" t="s">
        <v>40</v>
      </c>
      <c r="C72" t="s">
        <v>23</v>
      </c>
      <c r="D72" t="s">
        <v>15</v>
      </c>
      <c r="E72" t="s">
        <v>37</v>
      </c>
      <c r="F72">
        <v>4989.24</v>
      </c>
      <c r="G72">
        <v>4</v>
      </c>
      <c r="H72">
        <v>700.28</v>
      </c>
      <c r="I72" t="s">
        <v>26</v>
      </c>
      <c r="J72">
        <v>2023</v>
      </c>
    </row>
    <row r="73" spans="1:10">
      <c r="A73" s="2">
        <v>45433</v>
      </c>
      <c r="B73" t="s">
        <v>47</v>
      </c>
      <c r="C73" t="s">
        <v>25</v>
      </c>
      <c r="D73" t="s">
        <v>15</v>
      </c>
      <c r="E73" t="s">
        <v>37</v>
      </c>
      <c r="F73">
        <v>1516.16</v>
      </c>
      <c r="G73">
        <v>3</v>
      </c>
      <c r="H73">
        <v>-133.46</v>
      </c>
      <c r="I73" t="s">
        <v>18</v>
      </c>
      <c r="J73">
        <v>2024</v>
      </c>
    </row>
    <row r="74" spans="1:10">
      <c r="A74" s="2">
        <v>45453</v>
      </c>
      <c r="B74" t="s">
        <v>36</v>
      </c>
      <c r="C74" t="s">
        <v>14</v>
      </c>
      <c r="D74" t="s">
        <v>15</v>
      </c>
      <c r="E74" t="s">
        <v>55</v>
      </c>
      <c r="F74">
        <v>4782.66</v>
      </c>
      <c r="G74">
        <v>1</v>
      </c>
      <c r="H74">
        <v>1039.42</v>
      </c>
      <c r="I74" t="s">
        <v>20</v>
      </c>
      <c r="J74">
        <v>2024</v>
      </c>
    </row>
    <row r="75" spans="1:10">
      <c r="A75" s="2">
        <v>45095</v>
      </c>
      <c r="B75" t="s">
        <v>36</v>
      </c>
      <c r="C75" t="s">
        <v>10</v>
      </c>
      <c r="D75" t="s">
        <v>11</v>
      </c>
      <c r="E75" t="s">
        <v>56</v>
      </c>
      <c r="F75">
        <v>1262.6600000000001</v>
      </c>
      <c r="G75">
        <v>2</v>
      </c>
      <c r="H75">
        <v>139.1</v>
      </c>
      <c r="I75" t="s">
        <v>20</v>
      </c>
      <c r="J75">
        <v>2023</v>
      </c>
    </row>
    <row r="76" spans="1:10">
      <c r="A76" s="2">
        <v>45303</v>
      </c>
      <c r="B76" t="s">
        <v>42</v>
      </c>
      <c r="C76" t="s">
        <v>23</v>
      </c>
      <c r="D76" t="s">
        <v>8</v>
      </c>
      <c r="E76" t="s">
        <v>45</v>
      </c>
      <c r="F76">
        <v>3665.52</v>
      </c>
      <c r="G76">
        <v>1</v>
      </c>
      <c r="H76">
        <v>-51.34</v>
      </c>
      <c r="I76" t="s">
        <v>6</v>
      </c>
      <c r="J76">
        <v>2024</v>
      </c>
    </row>
    <row r="77" spans="1:10">
      <c r="A77" s="2">
        <v>45483</v>
      </c>
      <c r="B77" t="s">
        <v>36</v>
      </c>
      <c r="C77" t="s">
        <v>14</v>
      </c>
      <c r="D77" t="s">
        <v>8</v>
      </c>
      <c r="E77" t="s">
        <v>57</v>
      </c>
      <c r="F77">
        <v>652.13</v>
      </c>
      <c r="G77">
        <v>8</v>
      </c>
      <c r="H77">
        <v>1288.1199999999999</v>
      </c>
      <c r="I77" t="s">
        <v>22</v>
      </c>
      <c r="J77">
        <v>2024</v>
      </c>
    </row>
    <row r="78" spans="1:10">
      <c r="A78" s="2">
        <v>45203</v>
      </c>
      <c r="B78" t="s">
        <v>47</v>
      </c>
      <c r="C78" t="s">
        <v>14</v>
      </c>
      <c r="D78" t="s">
        <v>11</v>
      </c>
      <c r="E78" t="s">
        <v>52</v>
      </c>
      <c r="F78">
        <v>3431.41</v>
      </c>
      <c r="G78">
        <v>5</v>
      </c>
      <c r="H78">
        <v>1113.46</v>
      </c>
      <c r="I78" t="s">
        <v>27</v>
      </c>
      <c r="J78">
        <v>2023</v>
      </c>
    </row>
    <row r="79" spans="1:10">
      <c r="A79" s="2">
        <v>45406</v>
      </c>
      <c r="B79" t="s">
        <v>42</v>
      </c>
      <c r="C79" t="s">
        <v>23</v>
      </c>
      <c r="D79" t="s">
        <v>8</v>
      </c>
      <c r="E79" t="s">
        <v>43</v>
      </c>
      <c r="F79">
        <v>1140.69</v>
      </c>
      <c r="G79">
        <v>10</v>
      </c>
      <c r="H79">
        <v>247.77</v>
      </c>
      <c r="I79" t="s">
        <v>16</v>
      </c>
      <c r="J79">
        <v>2024</v>
      </c>
    </row>
    <row r="80" spans="1:10">
      <c r="A80" s="2">
        <v>45246</v>
      </c>
      <c r="B80" t="s">
        <v>42</v>
      </c>
      <c r="C80" t="s">
        <v>21</v>
      </c>
      <c r="D80" t="s">
        <v>8</v>
      </c>
      <c r="E80" t="s">
        <v>57</v>
      </c>
      <c r="F80">
        <v>3359.89</v>
      </c>
      <c r="G80">
        <v>5</v>
      </c>
      <c r="H80">
        <v>1450.18</v>
      </c>
      <c r="I80" t="s">
        <v>28</v>
      </c>
      <c r="J80">
        <v>2023</v>
      </c>
    </row>
    <row r="81" spans="1:10">
      <c r="A81" s="2">
        <v>45442</v>
      </c>
      <c r="B81" t="s">
        <v>38</v>
      </c>
      <c r="C81" t="s">
        <v>7</v>
      </c>
      <c r="D81" t="s">
        <v>15</v>
      </c>
      <c r="E81" t="s">
        <v>41</v>
      </c>
      <c r="F81">
        <v>3399.62</v>
      </c>
      <c r="G81">
        <v>5</v>
      </c>
      <c r="H81">
        <v>901.76</v>
      </c>
      <c r="I81" t="s">
        <v>18</v>
      </c>
      <c r="J81">
        <v>2024</v>
      </c>
    </row>
    <row r="82" spans="1:10">
      <c r="A82" s="2">
        <v>45245</v>
      </c>
      <c r="B82" t="s">
        <v>51</v>
      </c>
      <c r="C82" t="s">
        <v>17</v>
      </c>
      <c r="D82" t="s">
        <v>15</v>
      </c>
      <c r="E82" t="s">
        <v>41</v>
      </c>
      <c r="F82">
        <v>1378.86</v>
      </c>
      <c r="G82">
        <v>10</v>
      </c>
      <c r="H82">
        <v>287.47000000000003</v>
      </c>
      <c r="I82" t="s">
        <v>28</v>
      </c>
      <c r="J82">
        <v>2023</v>
      </c>
    </row>
    <row r="83" spans="1:10">
      <c r="A83" s="2">
        <v>45139</v>
      </c>
      <c r="B83" t="s">
        <v>44</v>
      </c>
      <c r="C83" t="s">
        <v>21</v>
      </c>
      <c r="D83" t="s">
        <v>11</v>
      </c>
      <c r="E83" t="s">
        <v>52</v>
      </c>
      <c r="F83">
        <v>2325.2199999999998</v>
      </c>
      <c r="G83">
        <v>7</v>
      </c>
      <c r="H83">
        <v>1301.58</v>
      </c>
      <c r="I83" t="s">
        <v>24</v>
      </c>
      <c r="J83">
        <v>2023</v>
      </c>
    </row>
    <row r="84" spans="1:10">
      <c r="A84" s="2">
        <v>45230</v>
      </c>
      <c r="B84" t="s">
        <v>46</v>
      </c>
      <c r="C84" t="s">
        <v>19</v>
      </c>
      <c r="D84" t="s">
        <v>11</v>
      </c>
      <c r="E84" t="s">
        <v>56</v>
      </c>
      <c r="F84">
        <v>749.68</v>
      </c>
      <c r="G84">
        <v>3</v>
      </c>
      <c r="H84">
        <v>281.69</v>
      </c>
      <c r="I84" t="s">
        <v>27</v>
      </c>
      <c r="J84">
        <v>2023</v>
      </c>
    </row>
    <row r="85" spans="1:10">
      <c r="A85" s="2">
        <v>44999</v>
      </c>
      <c r="B85" t="s">
        <v>46</v>
      </c>
      <c r="C85" t="s">
        <v>7</v>
      </c>
      <c r="D85" t="s">
        <v>8</v>
      </c>
      <c r="E85" t="s">
        <v>43</v>
      </c>
      <c r="F85">
        <v>2293.9299999999998</v>
      </c>
      <c r="G85">
        <v>2</v>
      </c>
      <c r="H85">
        <v>1288.3900000000001</v>
      </c>
      <c r="I85" t="s">
        <v>13</v>
      </c>
      <c r="J85">
        <v>2023</v>
      </c>
    </row>
    <row r="86" spans="1:10">
      <c r="A86" s="2">
        <v>45191</v>
      </c>
      <c r="B86" t="s">
        <v>44</v>
      </c>
      <c r="C86" t="s">
        <v>19</v>
      </c>
      <c r="D86" t="s">
        <v>8</v>
      </c>
      <c r="E86" t="s">
        <v>43</v>
      </c>
      <c r="F86">
        <v>1962.91</v>
      </c>
      <c r="G86">
        <v>2</v>
      </c>
      <c r="H86">
        <v>566.21</v>
      </c>
      <c r="I86" t="s">
        <v>26</v>
      </c>
      <c r="J86">
        <v>2023</v>
      </c>
    </row>
    <row r="87" spans="1:10">
      <c r="A87" s="2">
        <v>45474</v>
      </c>
      <c r="B87" t="s">
        <v>46</v>
      </c>
      <c r="C87" t="s">
        <v>23</v>
      </c>
      <c r="D87" t="s">
        <v>8</v>
      </c>
      <c r="E87" t="s">
        <v>39</v>
      </c>
      <c r="F87">
        <v>4255.83</v>
      </c>
      <c r="G87">
        <v>7</v>
      </c>
      <c r="H87">
        <v>909.27</v>
      </c>
      <c r="I87" t="s">
        <v>22</v>
      </c>
      <c r="J87">
        <v>2024</v>
      </c>
    </row>
    <row r="88" spans="1:10">
      <c r="A88" s="2">
        <v>45512</v>
      </c>
      <c r="B88" t="s">
        <v>51</v>
      </c>
      <c r="C88" t="s">
        <v>23</v>
      </c>
      <c r="D88" t="s">
        <v>15</v>
      </c>
      <c r="E88" t="s">
        <v>41</v>
      </c>
      <c r="F88">
        <v>2141.85</v>
      </c>
      <c r="G88">
        <v>6</v>
      </c>
      <c r="H88">
        <v>664.24</v>
      </c>
      <c r="I88" t="s">
        <v>24</v>
      </c>
      <c r="J88">
        <v>2024</v>
      </c>
    </row>
    <row r="89" spans="1:10">
      <c r="A89" s="2">
        <v>44964</v>
      </c>
      <c r="B89" t="s">
        <v>47</v>
      </c>
      <c r="C89" t="s">
        <v>7</v>
      </c>
      <c r="D89" t="s">
        <v>15</v>
      </c>
      <c r="E89" t="s">
        <v>49</v>
      </c>
      <c r="F89">
        <v>4522.5200000000004</v>
      </c>
      <c r="G89">
        <v>4</v>
      </c>
      <c r="H89">
        <v>1432.83</v>
      </c>
      <c r="I89" t="s">
        <v>9</v>
      </c>
      <c r="J89">
        <v>2023</v>
      </c>
    </row>
    <row r="90" spans="1:10">
      <c r="A90" s="2">
        <v>44988</v>
      </c>
      <c r="B90" t="s">
        <v>42</v>
      </c>
      <c r="C90" t="s">
        <v>7</v>
      </c>
      <c r="D90" t="s">
        <v>11</v>
      </c>
      <c r="E90" t="s">
        <v>48</v>
      </c>
      <c r="F90">
        <v>3343.81</v>
      </c>
      <c r="G90">
        <v>7</v>
      </c>
      <c r="H90">
        <v>-99.65</v>
      </c>
      <c r="I90" t="s">
        <v>13</v>
      </c>
      <c r="J90">
        <v>2023</v>
      </c>
    </row>
    <row r="91" spans="1:10">
      <c r="A91" s="2">
        <v>45400</v>
      </c>
      <c r="B91" t="s">
        <v>42</v>
      </c>
      <c r="C91" t="s">
        <v>14</v>
      </c>
      <c r="D91" t="s">
        <v>11</v>
      </c>
      <c r="E91" t="s">
        <v>54</v>
      </c>
      <c r="F91">
        <v>1623.9</v>
      </c>
      <c r="G91">
        <v>7</v>
      </c>
      <c r="H91">
        <v>717.23</v>
      </c>
      <c r="I91" t="s">
        <v>16</v>
      </c>
      <c r="J91">
        <v>2024</v>
      </c>
    </row>
    <row r="92" spans="1:10">
      <c r="A92" s="2">
        <v>45545</v>
      </c>
      <c r="B92" t="s">
        <v>40</v>
      </c>
      <c r="C92" t="s">
        <v>7</v>
      </c>
      <c r="D92" t="s">
        <v>15</v>
      </c>
      <c r="E92" t="s">
        <v>49</v>
      </c>
      <c r="F92">
        <v>548.70000000000005</v>
      </c>
      <c r="G92">
        <v>2</v>
      </c>
      <c r="H92">
        <v>1076.02</v>
      </c>
      <c r="I92" t="s">
        <v>26</v>
      </c>
      <c r="J92">
        <v>2024</v>
      </c>
    </row>
    <row r="93" spans="1:10">
      <c r="A93" s="2">
        <v>45153</v>
      </c>
      <c r="B93" t="s">
        <v>47</v>
      </c>
      <c r="C93" t="s">
        <v>7</v>
      </c>
      <c r="D93" t="s">
        <v>11</v>
      </c>
      <c r="E93" t="s">
        <v>52</v>
      </c>
      <c r="F93">
        <v>3782.22</v>
      </c>
      <c r="G93">
        <v>10</v>
      </c>
      <c r="H93">
        <v>1498.96</v>
      </c>
      <c r="I93" t="s">
        <v>24</v>
      </c>
      <c r="J93">
        <v>2023</v>
      </c>
    </row>
    <row r="94" spans="1:10">
      <c r="A94" s="2">
        <v>45172</v>
      </c>
      <c r="B94" t="s">
        <v>53</v>
      </c>
      <c r="C94" t="s">
        <v>10</v>
      </c>
      <c r="D94" t="s">
        <v>15</v>
      </c>
      <c r="E94" t="s">
        <v>55</v>
      </c>
      <c r="F94">
        <v>3799.24</v>
      </c>
      <c r="G94">
        <v>10</v>
      </c>
      <c r="H94">
        <v>1121.93</v>
      </c>
      <c r="I94" t="s">
        <v>26</v>
      </c>
      <c r="J94">
        <v>2023</v>
      </c>
    </row>
    <row r="95" spans="1:10">
      <c r="A95" s="2">
        <v>45236</v>
      </c>
      <c r="B95" t="s">
        <v>44</v>
      </c>
      <c r="C95" t="s">
        <v>21</v>
      </c>
      <c r="D95" t="s">
        <v>11</v>
      </c>
      <c r="E95" t="s">
        <v>54</v>
      </c>
      <c r="F95">
        <v>925.59</v>
      </c>
      <c r="G95">
        <v>2</v>
      </c>
      <c r="H95">
        <v>899.81</v>
      </c>
      <c r="I95" t="s">
        <v>28</v>
      </c>
      <c r="J95">
        <v>2023</v>
      </c>
    </row>
    <row r="96" spans="1:10">
      <c r="A96" s="2">
        <v>45116</v>
      </c>
      <c r="B96" t="s">
        <v>53</v>
      </c>
      <c r="C96" t="s">
        <v>17</v>
      </c>
      <c r="D96" t="s">
        <v>8</v>
      </c>
      <c r="E96" t="s">
        <v>57</v>
      </c>
      <c r="F96">
        <v>3919.4</v>
      </c>
      <c r="G96">
        <v>3</v>
      </c>
      <c r="H96">
        <v>-53.08</v>
      </c>
      <c r="I96" t="s">
        <v>22</v>
      </c>
      <c r="J96">
        <v>2023</v>
      </c>
    </row>
    <row r="97" spans="1:10">
      <c r="A97" s="2">
        <v>45562</v>
      </c>
      <c r="B97" t="s">
        <v>38</v>
      </c>
      <c r="C97" t="s">
        <v>17</v>
      </c>
      <c r="D97" t="s">
        <v>15</v>
      </c>
      <c r="E97" t="s">
        <v>55</v>
      </c>
      <c r="F97">
        <v>2129.2199999999998</v>
      </c>
      <c r="G97">
        <v>4</v>
      </c>
      <c r="H97">
        <v>102.46</v>
      </c>
      <c r="I97" t="s">
        <v>26</v>
      </c>
      <c r="J97">
        <v>2024</v>
      </c>
    </row>
    <row r="98" spans="1:10">
      <c r="A98" s="2">
        <v>44934</v>
      </c>
      <c r="B98" t="s">
        <v>50</v>
      </c>
      <c r="C98" t="s">
        <v>25</v>
      </c>
      <c r="D98" t="s">
        <v>8</v>
      </c>
      <c r="E98" t="s">
        <v>45</v>
      </c>
      <c r="F98">
        <v>2916.29</v>
      </c>
      <c r="G98">
        <v>2</v>
      </c>
      <c r="H98">
        <v>157.5</v>
      </c>
      <c r="I98" t="s">
        <v>6</v>
      </c>
      <c r="J98">
        <v>2023</v>
      </c>
    </row>
    <row r="99" spans="1:10">
      <c r="A99" s="2">
        <v>45578</v>
      </c>
      <c r="B99" t="s">
        <v>36</v>
      </c>
      <c r="C99" t="s">
        <v>19</v>
      </c>
      <c r="D99" t="s">
        <v>8</v>
      </c>
      <c r="E99" t="s">
        <v>57</v>
      </c>
      <c r="F99">
        <v>3185.09</v>
      </c>
      <c r="G99">
        <v>6</v>
      </c>
      <c r="H99">
        <v>657.07</v>
      </c>
      <c r="I99" t="s">
        <v>27</v>
      </c>
      <c r="J99">
        <v>2024</v>
      </c>
    </row>
    <row r="100" spans="1:10">
      <c r="A100" s="2">
        <v>45402</v>
      </c>
      <c r="B100" t="s">
        <v>46</v>
      </c>
      <c r="C100" t="s">
        <v>14</v>
      </c>
      <c r="D100" t="s">
        <v>8</v>
      </c>
      <c r="E100" t="s">
        <v>39</v>
      </c>
      <c r="F100">
        <v>567.46</v>
      </c>
      <c r="G100">
        <v>5</v>
      </c>
      <c r="H100">
        <v>1491.28</v>
      </c>
      <c r="I100" t="s">
        <v>16</v>
      </c>
      <c r="J100">
        <v>2024</v>
      </c>
    </row>
    <row r="101" spans="1:10">
      <c r="A101" s="2">
        <v>44944</v>
      </c>
      <c r="B101" t="s">
        <v>38</v>
      </c>
      <c r="C101" t="s">
        <v>14</v>
      </c>
      <c r="D101" t="s">
        <v>8</v>
      </c>
      <c r="E101" t="s">
        <v>39</v>
      </c>
      <c r="F101">
        <v>4920.41</v>
      </c>
      <c r="G101">
        <v>3</v>
      </c>
      <c r="H101">
        <v>1033.22</v>
      </c>
      <c r="I101" t="s">
        <v>6</v>
      </c>
      <c r="J1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2025-10-22T09:54:45Z</dcterms:created>
  <dcterms:modified xsi:type="dcterms:W3CDTF">2025-12-04T15:21:27Z</dcterms:modified>
  <cp:category/>
  <cp:contentStatus/>
</cp:coreProperties>
</file>